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Cadastro Produtos" sheetId="2" state="visible" r:id="rId2"/>
    <sheet name="Custos Fatiamento" sheetId="3" state="visible" r:id="rId3"/>
    <sheet name="Controle Fatiamento" sheetId="4" state="visible" r:id="rId4"/>
    <sheet name="Dashboard" sheetId="5" state="visible" r:id="rId5"/>
    <sheet name="Relatorios" sheetId="6" state="visible" r:id="rId6"/>
    <sheet name="Base Aux" sheetId="7" state="hidden" r:id="rId7"/>
    <sheet name="Listas" sheetId="8" state="hidden" r:id="rId8"/>
  </sheets>
  <definedNames>
    <definedName name="ListaFuncionarios">Listas!$A$4:$A$9</definedName>
    <definedName name="ListaMotivos">Listas!$B$4:$B$10</definedName>
    <definedName name="ListaStatus">Listas!$C$4:$C$5</definedName>
    <definedName name="ListaBase">Listas!$D$4:$D$5</definedName>
    <definedName name="ListaCategorias">Listas!$E$4:$E$7</definedName>
    <definedName name="ListaFornecedores">Listas!$F$4:$F$6</definedName>
    <definedName name="ListaMarcas">Listas!$G$4:$G$10</definedName>
    <definedName name="Prod_Codigo">'Cadastro Produtos'!$A$5:$A$54</definedName>
    <definedName name="Prod_Nome">'Cadastro Produtos'!$B$5:$B$54</definedName>
    <definedName name="Prod_Marca">'Cadastro Produtos'!$C$5:$C$54</definedName>
    <definedName name="Prod_Categoria">'Cadastro Produtos'!$D$5:$D$54</definedName>
    <definedName name="Prod_Fornecedor">'Cadastro Produtos'!$E$5:$E$54</definedName>
    <definedName name="Prod_PesoMedio">'Cadastro Produtos'!$F$5:$F$54</definedName>
    <definedName name="Prod_CustoCompra">'Cadastro Produtos'!$G$5:$G$54</definedName>
    <definedName name="Prod_PrecoVenda">'Cadastro Produtos'!$H$5:$H$54</definedName>
    <definedName name="Prod_Margem">'Cadastro Produtos'!$I$5:$I$54</definedName>
    <definedName name="Prod_Status">'Cadastro Produtos'!$J$5:$J$54</definedName>
    <definedName name="bEmbalagem">'Custos Fatiamento'!$B$5</definedName>
    <definedName name="vEmbalagem">'Custos Fatiamento'!$C$5</definedName>
    <definedName name="bEtiqueta">'Custos Fatiamento'!$B$6</definedName>
    <definedName name="vEtiqueta">'Custos Fatiamento'!$C$6</definedName>
    <definedName name="bFilme">'Custos Fatiamento'!$B$7</definedName>
    <definedName name="vFilme">'Custos Fatiamento'!$C$7</definedName>
    <definedName name="bEnergia">'Custos Fatiamento'!$B$8</definedName>
    <definedName name="vEnergia">'Custos Fatiamento'!$C$8</definedName>
    <definedName name="bDesgaste">'Custos Fatiamento'!$B$9</definedName>
    <definedName name="vDesgaste">'Custos Fatiamento'!$C$9</definedName>
    <definedName name="bLimpeza">'Custos Fatiamento'!$B$10</definedName>
    <definedName name="vLimpeza">'Custos Fatiamento'!$C$10</definedName>
    <definedName name="bMaoObra">'Custos Fatiamento'!$B$11</definedName>
    <definedName name="vMaoObra">'Custos Fatiamento'!$C$11</definedName>
    <definedName name="MetaPerda">'Custos Fatiamento'!$B$15</definedName>
    <definedName name="MetaPerdaMax">'Custos Fatiamento'!$B$16</definedName>
    <definedName name="Fat_Data">'Controle Fatiamento'!$A$5:$A$64</definedName>
    <definedName name="Fat_Func">'Controle Fatiamento'!$B$5:$B$64</definedName>
    <definedName name="Fat_Produto">'Controle Fatiamento'!$C$5:$C$64</definedName>
    <definedName name="Fat_Marca">'Controle Fatiamento'!$D$5:$D$64</definedName>
    <definedName name="Fat_PesoAntes">'Controle Fatiamento'!$F$5:$F$64</definedName>
    <definedName name="Fat_PesoVend">'Controle Fatiamento'!$I$5:$I$64</definedName>
    <definedName name="Fat_PesoPerd">'Controle Fatiamento'!$Q$5:$Q$64</definedName>
    <definedName name="Fat_ValorPerd">'Controle Fatiamento'!$S$5:$S$64</definedName>
    <definedName name="Fat_Receita">'Controle Fatiamento'!$AC$5:$AC$64</definedName>
    <definedName name="Fat_LucroBruto">'Controle Fatiamento'!$AD$5:$AD$64</definedName>
    <definedName name="Fat_LucroLiq">'Controle Fatiamento'!$AE$5:$AE$64</definedName>
    <definedName name="Fat_Categoria">'Controle Fatiamento'!$AJ$5:$AJ$64</definedName>
    <definedName name="Fat_Fornecedor">'Controle Fatiamento'!$AK$5:$AK$64</definedName>
    <definedName name="Fat_Mes">'Controle Fatiamento'!$AL$5:$AL$64</definedName>
    <definedName name="Base_Prod">'Base Aux'!$A$5:$A$54</definedName>
    <definedName name="Base_ValorPerd">'Base Aux'!$E$5:$E$54</definedName>
    <definedName name="Base_Lucro">'Base Aux'!$G$5:$G$54</definedName>
    <definedName name="Base_KeyPerda">'Base Aux'!$J$5:$J$54</definedName>
    <definedName name="Base_KeyLucro">'Base Aux'!$K$5:$K$54</definedName>
    <definedName name="Base_Func">'Base Aux'!$N$5:$N$10</definedName>
    <definedName name="Base_FuncPerdaPct">'Base Aux'!$R$5:$R$10</definedName>
    <definedName name="Base_FuncValor">'Base Aux'!$Q$5:$Q$10</definedName>
    <definedName name="Base_Forn">'Base Aux'!$T$5:$T$7</definedName>
    <definedName name="Base_FornValor">'Base Aux'!$W$5:$W$7</definedName>
    <definedName name="Base_FornPerdaPct">'Base Aux'!$X$5:$X$7</definedName>
    <definedName name="Base_Mes">'Base Aux'!$Z$5:$Z$16</definedName>
    <definedName name="Base_MesPerda">'Base Aux'!$AC$5:$AC$16</definedName>
    <definedName name="Base_MesLucro">'Base Aux'!$AD$5:$AD$16</definedName>
  </definedNames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#,##0.000"/>
    <numFmt numFmtId="165" formatCode="R$ #,##0.00"/>
    <numFmt numFmtId="166" formatCode="0.0%"/>
    <numFmt numFmtId="167" formatCode="yyyy-mm-dd h:mm:ss"/>
    <numFmt numFmtId="168" formatCode="dd/mm/yyyy"/>
    <numFmt numFmtId="169" formatCode="0.00&quot;x&quot;"/>
    <numFmt numFmtId="170" formatCode="mmm/yyyy"/>
  </numFmts>
  <fonts count="21">
    <font>
      <name val="Calibri"/>
      <family val="2"/>
      <color theme="1"/>
      <sz val="11"/>
      <scheme val="minor"/>
    </font>
    <font>
      <name val="Arial"/>
      <b val="1"/>
      <color rgb="001F3B4D"/>
      <sz val="11"/>
    </font>
    <font>
      <name val="Arial"/>
      <b val="1"/>
      <color rgb="00FFFFFF"/>
      <sz val="9"/>
    </font>
    <font>
      <name val="Arial"/>
      <color rgb="00222222"/>
      <sz val="9"/>
    </font>
    <font>
      <name val="Arial"/>
      <b val="1"/>
      <color rgb="00FFFFFF"/>
      <sz val="17"/>
    </font>
    <font>
      <name val="Arial"/>
      <color rgb="008A96A3"/>
      <sz val="9"/>
    </font>
    <font>
      <name val="Arial"/>
      <b val="1"/>
      <color rgb="00FFF6D5"/>
      <sz val="9"/>
    </font>
    <font>
      <name val="Arial"/>
      <b val="1"/>
      <color rgb="00222222"/>
      <sz val="10"/>
    </font>
    <font>
      <name val="Arial"/>
      <color rgb="00222222"/>
      <sz val="10"/>
    </font>
    <font>
      <name val="Arial"/>
      <color rgb="00333333"/>
      <sz val="9"/>
    </font>
    <font>
      <name val="Arial"/>
      <b val="1"/>
      <color rgb="002E75B6"/>
      <sz val="10"/>
    </font>
    <font>
      <name val="Arial"/>
      <b val="1"/>
      <color rgb="008A96A3"/>
      <sz val="8"/>
    </font>
    <font>
      <name val="Arial"/>
      <b val="1"/>
      <color rgb="001F3B4D"/>
      <sz val="15"/>
    </font>
    <font>
      <name val="Arial"/>
      <b val="1"/>
      <color rgb="00006100"/>
      <sz val="12"/>
    </font>
    <font>
      <name val="Arial"/>
      <b val="1"/>
      <color rgb="009C0006"/>
      <sz val="12"/>
    </font>
    <font>
      <name val="Arial"/>
      <b val="1"/>
      <color rgb="001F3B4D"/>
      <sz val="10"/>
    </font>
    <font>
      <name val="Arial"/>
      <b val="1"/>
      <color rgb="00222222"/>
      <sz val="9"/>
    </font>
    <font>
      <name val="Arial"/>
      <b val="1"/>
      <color rgb="00FFFFFF"/>
      <sz val="20"/>
    </font>
    <font>
      <name val="Arial"/>
      <color rgb="008A96A3"/>
      <sz val="11"/>
    </font>
    <font>
      <name val="Arial"/>
      <b val="1"/>
      <color rgb="00FFFFFF"/>
      <sz val="13"/>
    </font>
    <font>
      <name val="Arial"/>
      <color rgb="008A96A3"/>
      <sz val="10"/>
    </font>
  </fonts>
  <fills count="9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2E75B6"/>
      </patternFill>
    </fill>
    <fill>
      <patternFill patternType="solid">
        <fgColor rgb="00FFF6D5"/>
      </patternFill>
    </fill>
    <fill>
      <patternFill patternType="solid">
        <fgColor rgb="00FFFBEA"/>
      </patternFill>
    </fill>
    <fill>
      <patternFill patternType="solid">
        <fgColor rgb="00F5F8FB"/>
      </patternFill>
    </fill>
    <fill>
      <patternFill patternType="solid">
        <fgColor rgb="00F2F6FA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D3DDE6"/>
      </left>
      <right style="thin">
        <color rgb="00D3DDE6"/>
      </right>
      <top style="thin">
        <color rgb="00D3DDE6"/>
      </top>
      <bottom style="thin">
        <color rgb="00D3DDE6"/>
      </bottom>
    </border>
    <border>
      <left style="thin">
        <color rgb="00D3DDE6"/>
      </left>
      <right style="thin">
        <color rgb="00D3DDE6"/>
      </right>
      <top style="thin">
        <color rgb="00D3DDE6"/>
      </top>
    </border>
    <border>
      <left style="thin">
        <color rgb="00D3DDE6"/>
      </left>
      <right style="thin">
        <color rgb="00D3DDE6"/>
      </right>
      <bottom style="thin">
        <color rgb="00D3DDE6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7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9" fillId="3" borderId="0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left" indent="2"/>
    </xf>
    <xf numFmtId="0" fontId="5" fillId="0" borderId="0" applyAlignment="1" pivotButton="0" quotePrefix="0" xfId="0">
      <alignment horizontal="left" wrapText="1" indent="2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applyProtection="1" pivotButton="0" quotePrefix="0" xfId="0">
      <alignment horizontal="center"/>
      <protection locked="0" hidden="0"/>
    </xf>
    <xf numFmtId="0" fontId="3" fillId="4" borderId="1" applyAlignment="1" applyProtection="1" pivotButton="0" quotePrefix="0" xfId="0">
      <alignment horizontal="left"/>
      <protection locked="0" hidden="0"/>
    </xf>
    <xf numFmtId="164" fontId="3" fillId="4" borderId="1" applyAlignment="1" applyProtection="1" pivotButton="0" quotePrefix="0" xfId="0">
      <alignment horizontal="center"/>
      <protection locked="0" hidden="0"/>
    </xf>
    <xf numFmtId="165" fontId="3" fillId="4" borderId="1" applyAlignment="1" applyProtection="1" pivotButton="0" quotePrefix="0" xfId="0">
      <alignment horizontal="center"/>
      <protection locked="0" hidden="0"/>
    </xf>
    <xf numFmtId="166" fontId="3" fillId="4" borderId="1" applyAlignment="1" applyProtection="1" pivotButton="0" quotePrefix="0" xfId="0">
      <alignment horizontal="center"/>
      <protection locked="0" hidden="0"/>
    </xf>
    <xf numFmtId="0" fontId="3" fillId="5" borderId="1" applyAlignment="1" applyProtection="1" pivotButton="0" quotePrefix="0" xfId="0">
      <alignment horizontal="center"/>
      <protection locked="0" hidden="0"/>
    </xf>
    <xf numFmtId="0" fontId="3" fillId="5" borderId="1" applyAlignment="1" applyProtection="1" pivotButton="0" quotePrefix="0" xfId="0">
      <alignment horizontal="left"/>
      <protection locked="0" hidden="0"/>
    </xf>
    <xf numFmtId="164" fontId="3" fillId="5" borderId="1" applyAlignment="1" applyProtection="1" pivotButton="0" quotePrefix="0" xfId="0">
      <alignment horizontal="center"/>
      <protection locked="0" hidden="0"/>
    </xf>
    <xf numFmtId="165" fontId="3" fillId="5" borderId="1" applyAlignment="1" applyProtection="1" pivotButton="0" quotePrefix="0" xfId="0">
      <alignment horizontal="center"/>
      <protection locked="0" hidden="0"/>
    </xf>
    <xf numFmtId="166" fontId="3" fillId="5" borderId="1" applyAlignment="1" applyProtection="1" pivotButton="0" quotePrefix="0" xfId="0">
      <alignment horizontal="center"/>
      <protection locked="0" hidden="0"/>
    </xf>
    <xf numFmtId="0" fontId="7" fillId="6" borderId="1" pivotButton="0" quotePrefix="0" xfId="0"/>
    <xf numFmtId="0" fontId="8" fillId="4" borderId="1" applyAlignment="1" applyProtection="1" pivotButton="0" quotePrefix="0" xfId="0">
      <alignment horizontal="center"/>
      <protection locked="0" hidden="0"/>
    </xf>
    <xf numFmtId="165" fontId="8" fillId="4" borderId="1" applyAlignment="1" applyProtection="1" pivotButton="0" quotePrefix="0" xfId="0">
      <alignment horizontal="center"/>
      <protection locked="0" hidden="0"/>
    </xf>
    <xf numFmtId="0" fontId="5" fillId="0" borderId="1" pivotButton="0" quotePrefix="0" xfId="0"/>
    <xf numFmtId="0" fontId="1" fillId="0" borderId="0" pivotButton="0" quotePrefix="0" xfId="0"/>
    <xf numFmtId="166" fontId="0" fillId="4" borderId="1" applyAlignment="1" applyProtection="1" pivotButton="0" quotePrefix="0" xfId="0">
      <alignment horizontal="center"/>
      <protection locked="0" hidden="0"/>
    </xf>
    <xf numFmtId="0" fontId="5" fillId="0" borderId="0" pivotButton="0" quotePrefix="0" xfId="0"/>
    <xf numFmtId="168" fontId="3" fillId="4" borderId="1" applyAlignment="1" applyProtection="1" pivotButton="0" quotePrefix="0" xfId="0">
      <alignment horizontal="center"/>
      <protection locked="0" hidden="0"/>
    </xf>
    <xf numFmtId="0" fontId="9" fillId="6" borderId="1" applyAlignment="1" applyProtection="1" pivotButton="0" quotePrefix="0" xfId="0">
      <alignment horizontal="center"/>
      <protection locked="1" hidden="1"/>
    </xf>
    <xf numFmtId="165" fontId="9" fillId="6" borderId="1" applyAlignment="1" applyProtection="1" pivotButton="0" quotePrefix="0" xfId="0">
      <alignment horizontal="center"/>
      <protection locked="1" hidden="1"/>
    </xf>
    <xf numFmtId="164" fontId="9" fillId="6" borderId="1" applyAlignment="1" applyProtection="1" pivotButton="0" quotePrefix="0" xfId="0">
      <alignment horizontal="center"/>
      <protection locked="1" hidden="1"/>
    </xf>
    <xf numFmtId="166" fontId="9" fillId="6" borderId="1" applyAlignment="1" applyProtection="1" pivotButton="0" quotePrefix="0" xfId="0">
      <alignment horizontal="center"/>
      <protection locked="1" hidden="1"/>
    </xf>
    <xf numFmtId="169" fontId="9" fillId="6" borderId="1" applyAlignment="1" applyProtection="1" pivotButton="0" quotePrefix="0" xfId="0">
      <alignment horizontal="center"/>
      <protection locked="1" hidden="1"/>
    </xf>
    <xf numFmtId="170" fontId="9" fillId="6" borderId="1" applyAlignment="1" applyProtection="1" pivotButton="0" quotePrefix="0" xfId="0">
      <alignment horizontal="center"/>
      <protection locked="1" hidden="1"/>
    </xf>
    <xf numFmtId="168" fontId="3" fillId="5" borderId="1" applyAlignment="1" applyProtection="1" pivotButton="0" quotePrefix="0" xfId="0">
      <alignment horizontal="center"/>
      <protection locked="0" hidden="0"/>
    </xf>
    <xf numFmtId="0" fontId="4" fillId="2" borderId="0" applyAlignment="1" applyProtection="1" pivotButton="0" quotePrefix="0" xfId="0">
      <alignment horizontal="left" vertical="center" indent="1"/>
      <protection locked="1" hidden="1"/>
    </xf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left" vertical="center" indent="1"/>
      <protection locked="1" hidden="1"/>
    </xf>
    <xf numFmtId="0" fontId="2" fillId="3" borderId="1" applyAlignment="1" applyProtection="1" pivotButton="0" quotePrefix="0" xfId="0">
      <alignment horizontal="center" vertical="center"/>
      <protection locked="1" hidden="1"/>
    </xf>
    <xf numFmtId="0" fontId="6" fillId="2" borderId="1" applyAlignment="1" applyProtection="1" pivotButton="0" quotePrefix="0" xfId="0">
      <alignment horizontal="center" vertical="center"/>
      <protection locked="1" hidden="1"/>
    </xf>
    <xf numFmtId="0" fontId="11" fillId="7" borderId="2" applyAlignment="1" applyProtection="1" pivotButton="0" quotePrefix="0" xfId="0">
      <alignment horizontal="left" vertical="center" indent="1"/>
      <protection locked="1" hidden="1"/>
    </xf>
    <xf numFmtId="0" fontId="11" fillId="7" borderId="0" applyAlignment="1" applyProtection="1" pivotButton="0" quotePrefix="0" xfId="0">
      <alignment horizontal="left" indent="1"/>
      <protection locked="1" hidden="1"/>
    </xf>
    <xf numFmtId="3" fontId="12" fillId="7" borderId="3" applyAlignment="1" applyProtection="1" pivotButton="0" quotePrefix="0" xfId="0">
      <alignment horizontal="left" vertical="center" indent="1"/>
      <protection locked="1" hidden="1"/>
    </xf>
    <xf numFmtId="164" fontId="12" fillId="7" borderId="3" applyAlignment="1" applyProtection="1" pivotButton="0" quotePrefix="0" xfId="0">
      <alignment horizontal="left" vertical="center" indent="1"/>
      <protection locked="1" hidden="1"/>
    </xf>
    <xf numFmtId="0" fontId="12" fillId="7" borderId="0" applyAlignment="1" applyProtection="1" pivotButton="0" quotePrefix="0" xfId="0">
      <alignment horizontal="left" vertical="center" indent="1"/>
      <protection locked="1" hidden="1"/>
    </xf>
    <xf numFmtId="165" fontId="12" fillId="7" borderId="3" applyAlignment="1" applyProtection="1" pivotButton="0" quotePrefix="0" xfId="0">
      <alignment horizontal="left" vertical="center" indent="1"/>
      <protection locked="1" hidden="1"/>
    </xf>
    <xf numFmtId="166" fontId="12" fillId="7" borderId="3" applyAlignment="1" applyProtection="1" pivotButton="0" quotePrefix="0" xfId="0">
      <alignment horizontal="left" vertical="center" indent="1"/>
      <protection locked="1" hidden="1"/>
    </xf>
    <xf numFmtId="0" fontId="13" fillId="7" borderId="0" applyAlignment="1" applyProtection="1" pivotButton="0" quotePrefix="0" xfId="0">
      <alignment horizontal="left" indent="1"/>
      <protection locked="1" hidden="1"/>
    </xf>
    <xf numFmtId="0" fontId="14" fillId="7" borderId="0" applyAlignment="1" applyProtection="1" pivotButton="0" quotePrefix="0" xfId="0">
      <alignment horizontal="left" indent="1"/>
      <protection locked="1" hidden="1"/>
    </xf>
    <xf numFmtId="0" fontId="15" fillId="0" borderId="0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3" fillId="0" borderId="1" applyProtection="1" pivotButton="0" quotePrefix="0" xfId="0">
      <protection locked="1" hidden="1"/>
    </xf>
    <xf numFmtId="165" fontId="3" fillId="0" borderId="1" applyProtection="1" pivotButton="0" quotePrefix="0" xfId="0">
      <protection locked="1" hidden="1"/>
    </xf>
    <xf numFmtId="166" fontId="3" fillId="0" borderId="1" applyProtection="1" pivotButton="0" quotePrefix="0" xfId="0">
      <protection locked="1" hidden="1"/>
    </xf>
    <xf numFmtId="0" fontId="8" fillId="4" borderId="1" applyProtection="1" pivotButton="0" quotePrefix="0" xfId="0">
      <protection locked="0" hidden="0"/>
    </xf>
    <xf numFmtId="168" fontId="0" fillId="4" borderId="1" applyProtection="1" pivotButton="0" quotePrefix="0" xfId="0">
      <protection locked="0" hidden="0"/>
    </xf>
    <xf numFmtId="0" fontId="7" fillId="7" borderId="1" pivotButton="0" quotePrefix="0" xfId="0"/>
    <xf numFmtId="164" fontId="1" fillId="8" borderId="1" pivotButton="0" quotePrefix="0" xfId="0"/>
    <xf numFmtId="165" fontId="1" fillId="8" borderId="1" pivotButton="0" quotePrefix="0" xfId="0"/>
    <xf numFmtId="166" fontId="1" fillId="8" borderId="1" pivotButton="0" quotePrefix="0" xfId="0"/>
    <xf numFmtId="0" fontId="1" fillId="0" borderId="0" applyProtection="1" pivotButton="0" quotePrefix="0" xfId="0">
      <protection locked="1" hidden="1"/>
    </xf>
    <xf numFmtId="0" fontId="10" fillId="0" borderId="0" applyProtection="1" pivotButton="0" quotePrefix="0" xfId="0">
      <protection locked="1" hidden="1"/>
    </xf>
    <xf numFmtId="164" fontId="3" fillId="0" borderId="1" applyProtection="1" pivotButton="0" quotePrefix="0" xfId="0">
      <protection locked="1" hidden="1"/>
    </xf>
    <xf numFmtId="170" fontId="3" fillId="0" borderId="1" applyProtection="1" pivotButton="0" quotePrefix="0" xfId="0">
      <protection locked="1" hidden="1"/>
    </xf>
    <xf numFmtId="0" fontId="3" fillId="0" borderId="1" pivotButton="0" quotePrefix="0" xfId="0"/>
  </cellXfs>
  <cellStyles count="1">
    <cellStyle name="Normal" xfId="0" builtinId="0" hidden="0"/>
  </cellStyles>
  <dxfs count="6">
    <dxf>
      <font>
        <name val="Arial"/>
        <b val="1"/>
        <color rgb="009C0006"/>
        <sz val="9"/>
      </font>
      <fill>
        <patternFill patternType="solid">
          <fgColor rgb="00FFC7CE"/>
        </patternFill>
      </fill>
    </dxf>
    <dxf>
      <font>
        <name val="Arial"/>
        <b val="1"/>
        <color rgb="009C6500"/>
        <sz val="9"/>
      </font>
      <fill>
        <patternFill patternType="solid">
          <fgColor rgb="00FFEB9C"/>
        </patternFill>
      </fill>
    </dxf>
    <dxf>
      <font>
        <name val="Arial"/>
        <b val="1"/>
        <color rgb="00006100"/>
        <sz val="9"/>
      </font>
      <fill>
        <patternFill patternType="solid">
          <fgColor rgb="00C6EFCE"/>
        </patternFill>
      </fill>
    </dxf>
    <dxf>
      <font>
        <name val="Arial"/>
        <b val="1"/>
        <color rgb="009C0006"/>
        <sz val="15"/>
      </font>
      <fill>
        <patternFill patternType="solid">
          <fgColor rgb="00FFC7CE"/>
        </patternFill>
      </fill>
    </dxf>
    <dxf>
      <font>
        <name val="Arial"/>
        <b val="1"/>
        <color rgb="009C6500"/>
        <sz val="15"/>
      </font>
      <fill>
        <patternFill patternType="solid">
          <fgColor rgb="00FFEB9C"/>
        </patternFill>
      </fill>
    </dxf>
    <dxf>
      <font>
        <name val="Arial"/>
        <b val="1"/>
        <color rgb="00006100"/>
        <sz val="15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Perdas por produto (R$)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0504D"/>
            </a:solidFill>
            <a:ln>
              <a:prstDash val="solid"/>
            </a:ln>
          </spPr>
          <cat>
            <numRef>
              <f>'Base Aux'!$A$5:$A$12</f>
            </numRef>
          </cat>
          <val>
            <numRef>
              <f>'Base Aux'!$E$5:$E$12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Lucro por produto (R$)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4F81BD"/>
            </a:solidFill>
            <a:ln>
              <a:prstDash val="solid"/>
            </a:ln>
          </spPr>
          <cat>
            <numRef>
              <f>'Base Aux'!$A$5:$A$12</f>
            </numRef>
          </cat>
          <val>
            <numRef>
              <f>'Base Aux'!$G$5:$G$12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Perdas mensais (R$)</a:t>
            </a:r>
          </a:p>
        </rich>
      </tx>
    </title>
    <plotArea>
      <lineChart>
        <grouping val="standard"/>
        <ser>
          <idx val="0"/>
          <order val="0"/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'Base Aux'!$Z$5:$Z$16</f>
            </numRef>
          </cat>
          <val>
            <numRef>
              <f>'Base Aux'!$AC$5:$AC$16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Lucro mensal (R$)</a:t>
            </a:r>
          </a:p>
        </rich>
      </tx>
    </title>
    <plotArea>
      <lineChart>
        <grouping val="standard"/>
        <ser>
          <idx val="0"/>
          <order val="0"/>
          <spPr>
            <a:ln w="28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'Base Aux'!$Z$5:$Z$16</f>
            </numRef>
          </cat>
          <val>
            <numRef>
              <f>'Base Aux'!$AD$5:$AD$16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23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39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rodutos" displayName="tblProdutos" ref="A4:J54" headerRowCount="1">
  <autoFilter ref="A4:J54"/>
  <tableColumns count="10">
    <tableColumn id="1" name="Codigo"/>
    <tableColumn id="2" name="Produto"/>
    <tableColumn id="3" name="Marca"/>
    <tableColumn id="4" name="Categoria"/>
    <tableColumn id="5" name="Fornecedor"/>
    <tableColumn id="6" name="Peso medio peca (kg)"/>
    <tableColumn id="7" name="Custo compra /kg"/>
    <tableColumn id="8" name="Preco venda /kg"/>
    <tableColumn id="9" name="Margem desejada"/>
    <tableColumn id="10" name="Status"/>
  </tableColumns>
  <tableStyleInfo name="TableStyleMedium2" showRowStripes="0"/>
</table>
</file>

<file path=xl/tables/table2.xml><?xml version="1.0" encoding="utf-8"?>
<table xmlns="http://schemas.openxmlformats.org/spreadsheetml/2006/main" id="2" name="tblFatiamento" displayName="tblFatiamento" ref="A4:AL64" headerRowCount="1">
  <autoFilter ref="A4:AL64"/>
  <tableColumns count="38">
    <tableColumn id="1" name="Data"/>
    <tableColumn id="2" name="Funcionario"/>
    <tableColumn id="3" name="Produto"/>
    <tableColumn id="4" name="Marca"/>
    <tableColumn id="5" name="N peca"/>
    <tableColumn id="6" name="Peso antes (kg)"/>
    <tableColumn id="7" name="Valor pago /kg"/>
    <tableColumn id="8" name="Valor total peca"/>
    <tableColumn id="9" name="Peso vendido (kg)"/>
    <tableColumn id="10" name="Peso descartado (kg)"/>
    <tableColumn id="11" name="Peso amostra (kg)"/>
    <tableColumn id="12" name="Peso limpeza (kg)"/>
    <tableColumn id="13" name="Peso restante (kg)"/>
    <tableColumn id="14" name="Motivo das perdas"/>
    <tableColumn id="15" name="Preco venda /kg"/>
    <tableColumn id="16" name="Observacoes"/>
    <tableColumn id="17" name="Peso perdido (kg)"/>
    <tableColumn id="18" name="% perda"/>
    <tableColumn id="19" name="Valor perdido"/>
    <tableColumn id="20" name="Custo da perda"/>
    <tableColumn id="21" name="Custo embalagens"/>
    <tableColumn id="22" name="Custo etiquetas"/>
    <tableColumn id="23" name="Custo mao de obra"/>
    <tableColumn id="24" name="Custo energia"/>
    <tableColumn id="25" name="Outros custos op."/>
    <tableColumn id="26" name="Custo operacional"/>
    <tableColumn id="27" name="Custo total peca"/>
    <tableColumn id="28" name="Custo real /kg vendido"/>
    <tableColumn id="29" name="Receita"/>
    <tableColumn id="30" name="Lucro bruto"/>
    <tableColumn id="31" name="Lucro liquido"/>
    <tableColumn id="32" name="Margem %"/>
    <tableColumn id="33" name="Markup"/>
    <tableColumn id="34" name="Preco minimo"/>
    <tableColumn id="35" name="Preco ideal (margem)"/>
    <tableColumn id="36" name="Categoria"/>
    <tableColumn id="37" name="Fornecedor"/>
    <tableColumn id="38" name="Mes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adastro Produtos'!A1" TargetMode="External" Id="rId1" /><Relationship Type="http://schemas.openxmlformats.org/officeDocument/2006/relationships/hyperlink" Target="#'Custos Fatiamento'!A1" TargetMode="External" Id="rId2" /><Relationship Type="http://schemas.openxmlformats.org/officeDocument/2006/relationships/hyperlink" Target="#'Controle Fatiamento'!A1" TargetMode="External" Id="rId3" /><Relationship Type="http://schemas.openxmlformats.org/officeDocument/2006/relationships/hyperlink" Target="#'Dashboard'!A1" TargetMode="External" Id="rId4" /><Relationship Type="http://schemas.openxmlformats.org/officeDocument/2006/relationships/hyperlink" Target="#'Relatorios'!A1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#'Inicio'!A1" TargetMode="External" Id="rId1" /><Relationship Type="http://schemas.openxmlformats.org/officeDocument/2006/relationships/hyperlink" Target="#'Cadastro Produtos'!A1" TargetMode="External" Id="rId2" /><Relationship Type="http://schemas.openxmlformats.org/officeDocument/2006/relationships/hyperlink" Target="#'Custos Fatiamento'!A1" TargetMode="External" Id="rId3" /><Relationship Type="http://schemas.openxmlformats.org/officeDocument/2006/relationships/hyperlink" Target="#'Controle Fatiamento'!A1" TargetMode="External" Id="rId4" /><Relationship Type="http://schemas.openxmlformats.org/officeDocument/2006/relationships/hyperlink" Target="#'Dashboard'!A1" TargetMode="External" Id="rId5" /><Relationship Type="http://schemas.openxmlformats.org/officeDocument/2006/relationships/hyperlink" Target="#'Relatorios'!A1" TargetMode="External" Id="rId6" /><Relationship Type="http://schemas.openxmlformats.org/officeDocument/2006/relationships/table" Target="/xl/tables/table1.xml" Id="rId7" /></Relationships>
</file>

<file path=xl/worksheets/_rels/sheet3.xml.rels><Relationships xmlns="http://schemas.openxmlformats.org/package/2006/relationships"><Relationship Type="http://schemas.openxmlformats.org/officeDocument/2006/relationships/hyperlink" Target="#'Inicio'!A1" TargetMode="External" Id="rId1" /><Relationship Type="http://schemas.openxmlformats.org/officeDocument/2006/relationships/hyperlink" Target="#'Cadastro Produtos'!A1" TargetMode="External" Id="rId2" /><Relationship Type="http://schemas.openxmlformats.org/officeDocument/2006/relationships/hyperlink" Target="#'Custos Fatiamento'!A1" TargetMode="External" Id="rId3" /><Relationship Type="http://schemas.openxmlformats.org/officeDocument/2006/relationships/hyperlink" Target="#'Controle Fatiamento'!A1" TargetMode="External" Id="rId4" /><Relationship Type="http://schemas.openxmlformats.org/officeDocument/2006/relationships/hyperlink" Target="#'Dashboard'!A1" TargetMode="External" Id="rId5" /><Relationship Type="http://schemas.openxmlformats.org/officeDocument/2006/relationships/hyperlink" Target="#'Relatorios'!A1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#'Inicio'!A1" TargetMode="External" Id="rId1" /><Relationship Type="http://schemas.openxmlformats.org/officeDocument/2006/relationships/hyperlink" Target="#'Cadastro Produtos'!A1" TargetMode="External" Id="rId2" /><Relationship Type="http://schemas.openxmlformats.org/officeDocument/2006/relationships/hyperlink" Target="#'Custos Fatiamento'!A1" TargetMode="External" Id="rId3" /><Relationship Type="http://schemas.openxmlformats.org/officeDocument/2006/relationships/hyperlink" Target="#'Controle Fatiamento'!A1" TargetMode="External" Id="rId4" /><Relationship Type="http://schemas.openxmlformats.org/officeDocument/2006/relationships/hyperlink" Target="#'Dashboard'!A1" TargetMode="External" Id="rId5" /><Relationship Type="http://schemas.openxmlformats.org/officeDocument/2006/relationships/hyperlink" Target="#'Relatorios'!A1" TargetMode="External" Id="rId6" /><Relationship Type="http://schemas.openxmlformats.org/officeDocument/2006/relationships/table" Target="/xl/tables/table2.xml" Id="rId7" /></Relationships>
</file>

<file path=xl/worksheets/_rels/sheet5.xml.rels><Relationships xmlns="http://schemas.openxmlformats.org/package/2006/relationships"><Relationship Type="http://schemas.openxmlformats.org/officeDocument/2006/relationships/hyperlink" Target="#'Inicio'!A1" TargetMode="External" Id="rId1" /><Relationship Type="http://schemas.openxmlformats.org/officeDocument/2006/relationships/hyperlink" Target="#'Cadastro Produtos'!A1" TargetMode="External" Id="rId2" /><Relationship Type="http://schemas.openxmlformats.org/officeDocument/2006/relationships/hyperlink" Target="#'Custos Fatiamento'!A1" TargetMode="External" Id="rId3" /><Relationship Type="http://schemas.openxmlformats.org/officeDocument/2006/relationships/hyperlink" Target="#'Controle Fatiamento'!A1" TargetMode="External" Id="rId4" /><Relationship Type="http://schemas.openxmlformats.org/officeDocument/2006/relationships/hyperlink" Target="#'Dashboard'!A1" TargetMode="External" Id="rId5" /><Relationship Type="http://schemas.openxmlformats.org/officeDocument/2006/relationships/hyperlink" Target="#'Relatorios'!A1" TargetMode="External" Id="rId6" /><Relationship Type="http://schemas.openxmlformats.org/officeDocument/2006/relationships/drawing" Target="/xl/drawings/drawing1.xml" Id="rId7" /></Relationships>
</file>

<file path=xl/worksheets/_rels/sheet6.xml.rels><Relationships xmlns="http://schemas.openxmlformats.org/package/2006/relationships"><Relationship Type="http://schemas.openxmlformats.org/officeDocument/2006/relationships/hyperlink" Target="#'Inicio'!A1" TargetMode="External" Id="rId1" /><Relationship Type="http://schemas.openxmlformats.org/officeDocument/2006/relationships/hyperlink" Target="#'Cadastro Produtos'!A1" TargetMode="External" Id="rId2" /><Relationship Type="http://schemas.openxmlformats.org/officeDocument/2006/relationships/hyperlink" Target="#'Custos Fatiamento'!A1" TargetMode="External" Id="rId3" /><Relationship Type="http://schemas.openxmlformats.org/officeDocument/2006/relationships/hyperlink" Target="#'Controle Fatiamento'!A1" TargetMode="External" Id="rId4" /><Relationship Type="http://schemas.openxmlformats.org/officeDocument/2006/relationships/hyperlink" Target="#'Dashboard'!A1" TargetMode="External" Id="rId5" /><Relationship Type="http://schemas.openxmlformats.org/officeDocument/2006/relationships/hyperlink" Target="#'Relatorios'!A1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48" customHeight="1">
      <c r="A1" s="1" t="inlineStr">
        <is>
          <t>ED FRIOS  -  ERP DE FICHA TECNICA E FATIAMENTO</t>
        </is>
      </c>
    </row>
    <row r="2">
      <c r="A2" s="2" t="inlineStr">
        <is>
          <t>Controle de custo real, perdas e lucro dos produtos fatiados</t>
        </is>
      </c>
    </row>
    <row r="4" ht="26" customHeight="1">
      <c r="A4" s="3" t="inlineStr">
        <is>
          <t>1. CADASTRO DE PRODUTOS</t>
        </is>
      </c>
    </row>
    <row r="5" ht="18" customHeight="1">
      <c r="A5" s="4" t="inlineStr">
        <is>
          <t>Produtos, precos e margens - base de tudo</t>
        </is>
      </c>
    </row>
    <row r="7" ht="26" customHeight="1">
      <c r="A7" s="3" t="inlineStr">
        <is>
          <t>2. CUSTOS DO FATIAMENTO</t>
        </is>
      </c>
    </row>
    <row r="8" ht="18" customHeight="1">
      <c r="A8" s="4" t="inlineStr">
        <is>
          <t>Embalagem, energia, mao de obra e metas</t>
        </is>
      </c>
    </row>
    <row r="10" ht="26" customHeight="1">
      <c r="A10" s="3" t="inlineStr">
        <is>
          <t>3. CONTROLE DE FATIAMENTO</t>
        </is>
      </c>
    </row>
    <row r="11" ht="18" customHeight="1">
      <c r="A11" s="4" t="inlineStr">
        <is>
          <t>Lancamento diario das pecas (aba principal)</t>
        </is>
      </c>
    </row>
    <row r="13" ht="26" customHeight="1">
      <c r="A13" s="3" t="inlineStr">
        <is>
          <t>4. DASHBOARD</t>
        </is>
      </c>
    </row>
    <row r="14" ht="18" customHeight="1">
      <c r="A14" s="4" t="inlineStr">
        <is>
          <t>Indicadores, semaforo, rankings e graficos</t>
        </is>
      </c>
    </row>
    <row r="16" ht="26" customHeight="1">
      <c r="A16" s="3" t="inlineStr">
        <is>
          <t>5. RELATORIOS</t>
        </is>
      </c>
    </row>
    <row r="17" ht="18" customHeight="1">
      <c r="A17" s="4" t="inlineStr">
        <is>
          <t>Totais filtrados por periodo, produto, etc.</t>
        </is>
      </c>
    </row>
    <row r="19" ht="46" customHeight="1">
      <c r="A19" s="5" t="inlineStr">
        <is>
          <t>Como usar: cadastre os produtos e custos, lance o fatiamento do dia na aba 3 e acompanhe tudo no Dashboard. Celulas amarelas = voce digita; as demais calculam sozinhas e estao protegidas.</t>
        </is>
      </c>
    </row>
  </sheetData>
  <mergeCells count="13">
    <mergeCell ref="A2:F2"/>
    <mergeCell ref="A11:F11"/>
    <mergeCell ref="A16:F16"/>
    <mergeCell ref="A10:F10"/>
    <mergeCell ref="A13:F13"/>
    <mergeCell ref="A14:F14"/>
    <mergeCell ref="A19:F19"/>
    <mergeCell ref="A1:F1"/>
    <mergeCell ref="A5:F5"/>
    <mergeCell ref="A8:F8"/>
    <mergeCell ref="A17:F17"/>
    <mergeCell ref="A4:F4"/>
    <mergeCell ref="A7:F7"/>
  </mergeCells>
  <hyperlinks>
    <hyperlink xmlns:r="http://schemas.openxmlformats.org/officeDocument/2006/relationships" ref="A4" r:id="rId1"/>
    <hyperlink xmlns:r="http://schemas.openxmlformats.org/officeDocument/2006/relationships" ref="A7" r:id="rId2"/>
    <hyperlink xmlns:r="http://schemas.openxmlformats.org/officeDocument/2006/relationships" ref="A10" r:id="rId3"/>
    <hyperlink xmlns:r="http://schemas.openxmlformats.org/officeDocument/2006/relationships" ref="A13" r:id="rId4"/>
    <hyperlink xmlns:r="http://schemas.openxmlformats.org/officeDocument/2006/relationships" ref="A1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16" customWidth="1" min="5" max="5"/>
    <col width="16" customWidth="1" min="6" max="6"/>
    <col width="15" customWidth="1" min="7" max="7"/>
    <col width="15" customWidth="1" min="8" max="8"/>
    <col width="14" customWidth="1" min="9" max="9"/>
    <col width="10" customWidth="1" min="10" max="10"/>
  </cols>
  <sheetData>
    <row r="1" ht="34" customHeight="1">
      <c r="A1" s="6" t="inlineStr">
        <is>
          <t>CADASTRO DE PRODUTOS</t>
        </is>
      </c>
    </row>
    <row r="2">
      <c r="A2" s="7" t="inlineStr">
        <is>
          <t>Base de todos os calculos. Preencha 1 linha por produto. Campos amarelos = voce digita.</t>
        </is>
      </c>
    </row>
    <row r="3" ht="20" customHeight="1">
      <c r="A3" s="8" t="inlineStr">
        <is>
          <t>Inicio</t>
        </is>
      </c>
      <c r="B3" s="9" t="inlineStr">
        <is>
          <t>Produtos</t>
        </is>
      </c>
      <c r="C3" s="8" t="inlineStr">
        <is>
          <t>Custos</t>
        </is>
      </c>
      <c r="D3" s="8" t="inlineStr">
        <is>
          <t>Fatiamento</t>
        </is>
      </c>
      <c r="E3" s="8" t="inlineStr">
        <is>
          <t>Dashboard</t>
        </is>
      </c>
      <c r="F3" s="8" t="inlineStr">
        <is>
          <t>Relatorios</t>
        </is>
      </c>
    </row>
    <row r="4">
      <c r="A4" s="10" t="inlineStr">
        <is>
          <t>Codigo</t>
        </is>
      </c>
      <c r="B4" s="10" t="inlineStr">
        <is>
          <t>Produto</t>
        </is>
      </c>
      <c r="C4" s="10" t="inlineStr">
        <is>
          <t>Marca</t>
        </is>
      </c>
      <c r="D4" s="10" t="inlineStr">
        <is>
          <t>Categoria</t>
        </is>
      </c>
      <c r="E4" s="10" t="inlineStr">
        <is>
          <t>Fornecedor</t>
        </is>
      </c>
      <c r="F4" s="10" t="inlineStr">
        <is>
          <t>Peso medio peca (kg)</t>
        </is>
      </c>
      <c r="G4" s="10" t="inlineStr">
        <is>
          <t>Custo compra /kg</t>
        </is>
      </c>
      <c r="H4" s="10" t="inlineStr">
        <is>
          <t>Preco venda /kg</t>
        </is>
      </c>
      <c r="I4" s="10" t="inlineStr">
        <is>
          <t>Margem desejada</t>
        </is>
      </c>
      <c r="J4" s="10" t="inlineStr">
        <is>
          <t>Status</t>
        </is>
      </c>
    </row>
    <row r="5">
      <c r="A5" s="11" t="inlineStr">
        <is>
          <t>P001</t>
        </is>
      </c>
      <c r="B5" s="12" t="inlineStr">
        <is>
          <t>Mussarela</t>
        </is>
      </c>
      <c r="C5" s="11" t="inlineStr">
        <is>
          <t>Tirolez</t>
        </is>
      </c>
      <c r="D5" s="11" t="inlineStr">
        <is>
          <t>Laticinios</t>
        </is>
      </c>
      <c r="E5" s="11" t="inlineStr">
        <is>
          <t>Distribuidora A</t>
        </is>
      </c>
      <c r="F5" s="13" t="n">
        <v>4</v>
      </c>
      <c r="G5" s="14" t="n">
        <v>32</v>
      </c>
      <c r="H5" s="14" t="n">
        <v>44.9</v>
      </c>
      <c r="I5" s="15" t="n">
        <v>0.25</v>
      </c>
      <c r="J5" s="11" t="inlineStr">
        <is>
          <t>Ativo</t>
        </is>
      </c>
    </row>
    <row r="6">
      <c r="A6" s="16" t="inlineStr">
        <is>
          <t>P002</t>
        </is>
      </c>
      <c r="B6" s="17" t="inlineStr">
        <is>
          <t>Presunto Cozido</t>
        </is>
      </c>
      <c r="C6" s="16" t="inlineStr">
        <is>
          <t>Sadia</t>
        </is>
      </c>
      <c r="D6" s="16" t="inlineStr">
        <is>
          <t>Frios</t>
        </is>
      </c>
      <c r="E6" s="16" t="inlineStr">
        <is>
          <t>Distribuidora A</t>
        </is>
      </c>
      <c r="F6" s="18" t="n">
        <v>3.5</v>
      </c>
      <c r="G6" s="19" t="n">
        <v>24</v>
      </c>
      <c r="H6" s="19" t="n">
        <v>36.9</v>
      </c>
      <c r="I6" s="20" t="n">
        <v>0.3</v>
      </c>
      <c r="J6" s="16" t="inlineStr">
        <is>
          <t>Ativo</t>
        </is>
      </c>
    </row>
    <row r="7">
      <c r="A7" s="11" t="inlineStr">
        <is>
          <t>P003</t>
        </is>
      </c>
      <c r="B7" s="12" t="inlineStr">
        <is>
          <t>Mortadela</t>
        </is>
      </c>
      <c r="C7" s="11" t="inlineStr">
        <is>
          <t>Seara</t>
        </is>
      </c>
      <c r="D7" s="11" t="inlineStr">
        <is>
          <t>Frios</t>
        </is>
      </c>
      <c r="E7" s="11" t="inlineStr">
        <is>
          <t>Distribuidora B</t>
        </is>
      </c>
      <c r="F7" s="13" t="n">
        <v>3</v>
      </c>
      <c r="G7" s="14" t="n">
        <v>14</v>
      </c>
      <c r="H7" s="14" t="n">
        <v>22.9</v>
      </c>
      <c r="I7" s="15" t="n">
        <v>0.3</v>
      </c>
      <c r="J7" s="11" t="inlineStr">
        <is>
          <t>Ativo</t>
        </is>
      </c>
    </row>
    <row r="8">
      <c r="A8" s="16" t="inlineStr">
        <is>
          <t>P004</t>
        </is>
      </c>
      <c r="B8" s="17" t="inlineStr">
        <is>
          <t>Queijo Prato</t>
        </is>
      </c>
      <c r="C8" s="16" t="inlineStr">
        <is>
          <t>Polenghi</t>
        </is>
      </c>
      <c r="D8" s="16" t="inlineStr">
        <is>
          <t>Laticinios</t>
        </is>
      </c>
      <c r="E8" s="16" t="inlineStr">
        <is>
          <t>Distribuidora B</t>
        </is>
      </c>
      <c r="F8" s="18" t="n">
        <v>3.8</v>
      </c>
      <c r="G8" s="19" t="n">
        <v>34</v>
      </c>
      <c r="H8" s="19" t="n">
        <v>47.9</v>
      </c>
      <c r="I8" s="20" t="n">
        <v>0.25</v>
      </c>
      <c r="J8" s="16" t="inlineStr">
        <is>
          <t>Ativo</t>
        </is>
      </c>
    </row>
    <row r="9">
      <c r="A9" s="11" t="inlineStr">
        <is>
          <t>P005</t>
        </is>
      </c>
      <c r="B9" s="12" t="inlineStr">
        <is>
          <t>Peito de Peru</t>
        </is>
      </c>
      <c r="C9" s="11" t="inlineStr">
        <is>
          <t>Sadia</t>
        </is>
      </c>
      <c r="D9" s="11" t="inlineStr">
        <is>
          <t>Frios</t>
        </is>
      </c>
      <c r="E9" s="11" t="inlineStr">
        <is>
          <t>Distribuidora C</t>
        </is>
      </c>
      <c r="F9" s="13" t="n">
        <v>2.5</v>
      </c>
      <c r="G9" s="14" t="n">
        <v>38</v>
      </c>
      <c r="H9" s="14" t="n">
        <v>54.9</v>
      </c>
      <c r="I9" s="15" t="n">
        <v>0.28</v>
      </c>
      <c r="J9" s="11" t="inlineStr">
        <is>
          <t>Ativo</t>
        </is>
      </c>
    </row>
    <row r="10">
      <c r="A10" s="16" t="inlineStr">
        <is>
          <t>P006</t>
        </is>
      </c>
      <c r="B10" s="17" t="inlineStr">
        <is>
          <t>Salame Italiano</t>
        </is>
      </c>
      <c r="C10" s="16" t="inlineStr">
        <is>
          <t>Perdigao</t>
        </is>
      </c>
      <c r="D10" s="16" t="inlineStr">
        <is>
          <t>Embutidos</t>
        </is>
      </c>
      <c r="E10" s="16" t="inlineStr">
        <is>
          <t>Distribuidora C</t>
        </is>
      </c>
      <c r="F10" s="18" t="n">
        <v>1.2</v>
      </c>
      <c r="G10" s="19" t="n">
        <v>42</v>
      </c>
      <c r="H10" s="19" t="n">
        <v>64.90000000000001</v>
      </c>
      <c r="I10" s="20" t="n">
        <v>0.3</v>
      </c>
      <c r="J10" s="16" t="inlineStr">
        <is>
          <t>Ativo</t>
        </is>
      </c>
    </row>
    <row r="11">
      <c r="A11" s="11" t="inlineStr">
        <is>
          <t>P007</t>
        </is>
      </c>
      <c r="B11" s="12" t="inlineStr">
        <is>
          <t>Bacon</t>
        </is>
      </c>
      <c r="C11" s="11" t="inlineStr">
        <is>
          <t>Seara</t>
        </is>
      </c>
      <c r="D11" s="11" t="inlineStr">
        <is>
          <t>Defumados</t>
        </is>
      </c>
      <c r="E11" s="11" t="inlineStr">
        <is>
          <t>Distribuidora A</t>
        </is>
      </c>
      <c r="F11" s="13" t="n">
        <v>2</v>
      </c>
      <c r="G11" s="14" t="n">
        <v>28</v>
      </c>
      <c r="H11" s="14" t="n">
        <v>42.9</v>
      </c>
      <c r="I11" s="15" t="n">
        <v>0.28</v>
      </c>
      <c r="J11" s="11" t="inlineStr">
        <is>
          <t>Ativo</t>
        </is>
      </c>
    </row>
    <row r="12">
      <c r="A12" s="16" t="inlineStr">
        <is>
          <t>P008</t>
        </is>
      </c>
      <c r="B12" s="17" t="inlineStr">
        <is>
          <t>Queijo Provolone</t>
        </is>
      </c>
      <c r="C12" s="16" t="inlineStr">
        <is>
          <t>Tirolez</t>
        </is>
      </c>
      <c r="D12" s="16" t="inlineStr">
        <is>
          <t>Laticinios</t>
        </is>
      </c>
      <c r="E12" s="16" t="inlineStr">
        <is>
          <t>Distribuidora B</t>
        </is>
      </c>
      <c r="F12" s="18" t="n">
        <v>2.2</v>
      </c>
      <c r="G12" s="19" t="n">
        <v>46</v>
      </c>
      <c r="H12" s="19" t="n">
        <v>66.90000000000001</v>
      </c>
      <c r="I12" s="20" t="n">
        <v>0.25</v>
      </c>
      <c r="J12" s="16" t="inlineStr">
        <is>
          <t>Ativo</t>
        </is>
      </c>
    </row>
    <row r="13">
      <c r="A13" s="11" t="n"/>
      <c r="B13" s="12" t="n"/>
      <c r="C13" s="11" t="n"/>
      <c r="D13" s="11" t="n"/>
      <c r="E13" s="11" t="n"/>
      <c r="F13" s="13" t="n"/>
      <c r="G13" s="14" t="n"/>
      <c r="H13" s="14" t="n"/>
      <c r="I13" s="15" t="n"/>
      <c r="J13" s="11" t="n"/>
    </row>
    <row r="14">
      <c r="A14" s="16" t="n"/>
      <c r="B14" s="17" t="n"/>
      <c r="C14" s="16" t="n"/>
      <c r="D14" s="16" t="n"/>
      <c r="E14" s="16" t="n"/>
      <c r="F14" s="18" t="n"/>
      <c r="G14" s="19" t="n"/>
      <c r="H14" s="19" t="n"/>
      <c r="I14" s="20" t="n"/>
      <c r="J14" s="16" t="n"/>
    </row>
    <row r="15">
      <c r="A15" s="11" t="n"/>
      <c r="B15" s="12" t="n"/>
      <c r="C15" s="11" t="n"/>
      <c r="D15" s="11" t="n"/>
      <c r="E15" s="11" t="n"/>
      <c r="F15" s="13" t="n"/>
      <c r="G15" s="14" t="n"/>
      <c r="H15" s="14" t="n"/>
      <c r="I15" s="15" t="n"/>
      <c r="J15" s="11" t="n"/>
    </row>
    <row r="16">
      <c r="A16" s="16" t="n"/>
      <c r="B16" s="17" t="n"/>
      <c r="C16" s="16" t="n"/>
      <c r="D16" s="16" t="n"/>
      <c r="E16" s="16" t="n"/>
      <c r="F16" s="18" t="n"/>
      <c r="G16" s="19" t="n"/>
      <c r="H16" s="19" t="n"/>
      <c r="I16" s="20" t="n"/>
      <c r="J16" s="16" t="n"/>
    </row>
    <row r="17">
      <c r="A17" s="11" t="n"/>
      <c r="B17" s="12" t="n"/>
      <c r="C17" s="11" t="n"/>
      <c r="D17" s="11" t="n"/>
      <c r="E17" s="11" t="n"/>
      <c r="F17" s="13" t="n"/>
      <c r="G17" s="14" t="n"/>
      <c r="H17" s="14" t="n"/>
      <c r="I17" s="15" t="n"/>
      <c r="J17" s="11" t="n"/>
    </row>
    <row r="18">
      <c r="A18" s="16" t="n"/>
      <c r="B18" s="17" t="n"/>
      <c r="C18" s="16" t="n"/>
      <c r="D18" s="16" t="n"/>
      <c r="E18" s="16" t="n"/>
      <c r="F18" s="18" t="n"/>
      <c r="G18" s="19" t="n"/>
      <c r="H18" s="19" t="n"/>
      <c r="I18" s="20" t="n"/>
      <c r="J18" s="16" t="n"/>
    </row>
    <row r="19">
      <c r="A19" s="11" t="n"/>
      <c r="B19" s="12" t="n"/>
      <c r="C19" s="11" t="n"/>
      <c r="D19" s="11" t="n"/>
      <c r="E19" s="11" t="n"/>
      <c r="F19" s="13" t="n"/>
      <c r="G19" s="14" t="n"/>
      <c r="H19" s="14" t="n"/>
      <c r="I19" s="15" t="n"/>
      <c r="J19" s="11" t="n"/>
    </row>
    <row r="20">
      <c r="A20" s="16" t="n"/>
      <c r="B20" s="17" t="n"/>
      <c r="C20" s="16" t="n"/>
      <c r="D20" s="16" t="n"/>
      <c r="E20" s="16" t="n"/>
      <c r="F20" s="18" t="n"/>
      <c r="G20" s="19" t="n"/>
      <c r="H20" s="19" t="n"/>
      <c r="I20" s="20" t="n"/>
      <c r="J20" s="16" t="n"/>
    </row>
    <row r="21">
      <c r="A21" s="11" t="n"/>
      <c r="B21" s="12" t="n"/>
      <c r="C21" s="11" t="n"/>
      <c r="D21" s="11" t="n"/>
      <c r="E21" s="11" t="n"/>
      <c r="F21" s="13" t="n"/>
      <c r="G21" s="14" t="n"/>
      <c r="H21" s="14" t="n"/>
      <c r="I21" s="15" t="n"/>
      <c r="J21" s="11" t="n"/>
    </row>
    <row r="22">
      <c r="A22" s="16" t="n"/>
      <c r="B22" s="17" t="n"/>
      <c r="C22" s="16" t="n"/>
      <c r="D22" s="16" t="n"/>
      <c r="E22" s="16" t="n"/>
      <c r="F22" s="18" t="n"/>
      <c r="G22" s="19" t="n"/>
      <c r="H22" s="19" t="n"/>
      <c r="I22" s="20" t="n"/>
      <c r="J22" s="16" t="n"/>
    </row>
    <row r="23">
      <c r="A23" s="11" t="n"/>
      <c r="B23" s="12" t="n"/>
      <c r="C23" s="11" t="n"/>
      <c r="D23" s="11" t="n"/>
      <c r="E23" s="11" t="n"/>
      <c r="F23" s="13" t="n"/>
      <c r="G23" s="14" t="n"/>
      <c r="H23" s="14" t="n"/>
      <c r="I23" s="15" t="n"/>
      <c r="J23" s="11" t="n"/>
    </row>
    <row r="24">
      <c r="A24" s="16" t="n"/>
      <c r="B24" s="17" t="n"/>
      <c r="C24" s="16" t="n"/>
      <c r="D24" s="16" t="n"/>
      <c r="E24" s="16" t="n"/>
      <c r="F24" s="18" t="n"/>
      <c r="G24" s="19" t="n"/>
      <c r="H24" s="19" t="n"/>
      <c r="I24" s="20" t="n"/>
      <c r="J24" s="16" t="n"/>
    </row>
    <row r="25">
      <c r="A25" s="11" t="n"/>
      <c r="B25" s="12" t="n"/>
      <c r="C25" s="11" t="n"/>
      <c r="D25" s="11" t="n"/>
      <c r="E25" s="11" t="n"/>
      <c r="F25" s="13" t="n"/>
      <c r="G25" s="14" t="n"/>
      <c r="H25" s="14" t="n"/>
      <c r="I25" s="15" t="n"/>
      <c r="J25" s="11" t="n"/>
    </row>
    <row r="26">
      <c r="A26" s="16" t="n"/>
      <c r="B26" s="17" t="n"/>
      <c r="C26" s="16" t="n"/>
      <c r="D26" s="16" t="n"/>
      <c r="E26" s="16" t="n"/>
      <c r="F26" s="18" t="n"/>
      <c r="G26" s="19" t="n"/>
      <c r="H26" s="19" t="n"/>
      <c r="I26" s="20" t="n"/>
      <c r="J26" s="16" t="n"/>
    </row>
    <row r="27">
      <c r="A27" s="11" t="n"/>
      <c r="B27" s="12" t="n"/>
      <c r="C27" s="11" t="n"/>
      <c r="D27" s="11" t="n"/>
      <c r="E27" s="11" t="n"/>
      <c r="F27" s="13" t="n"/>
      <c r="G27" s="14" t="n"/>
      <c r="H27" s="14" t="n"/>
      <c r="I27" s="15" t="n"/>
      <c r="J27" s="11" t="n"/>
    </row>
    <row r="28">
      <c r="A28" s="16" t="n"/>
      <c r="B28" s="17" t="n"/>
      <c r="C28" s="16" t="n"/>
      <c r="D28" s="16" t="n"/>
      <c r="E28" s="16" t="n"/>
      <c r="F28" s="18" t="n"/>
      <c r="G28" s="19" t="n"/>
      <c r="H28" s="19" t="n"/>
      <c r="I28" s="20" t="n"/>
      <c r="J28" s="16" t="n"/>
    </row>
    <row r="29">
      <c r="A29" s="11" t="n"/>
      <c r="B29" s="12" t="n"/>
      <c r="C29" s="11" t="n"/>
      <c r="D29" s="11" t="n"/>
      <c r="E29" s="11" t="n"/>
      <c r="F29" s="13" t="n"/>
      <c r="G29" s="14" t="n"/>
      <c r="H29" s="14" t="n"/>
      <c r="I29" s="15" t="n"/>
      <c r="J29" s="11" t="n"/>
    </row>
    <row r="30">
      <c r="A30" s="16" t="n"/>
      <c r="B30" s="17" t="n"/>
      <c r="C30" s="16" t="n"/>
      <c r="D30" s="16" t="n"/>
      <c r="E30" s="16" t="n"/>
      <c r="F30" s="18" t="n"/>
      <c r="G30" s="19" t="n"/>
      <c r="H30" s="19" t="n"/>
      <c r="I30" s="20" t="n"/>
      <c r="J30" s="16" t="n"/>
    </row>
    <row r="31">
      <c r="A31" s="11" t="n"/>
      <c r="B31" s="12" t="n"/>
      <c r="C31" s="11" t="n"/>
      <c r="D31" s="11" t="n"/>
      <c r="E31" s="11" t="n"/>
      <c r="F31" s="13" t="n"/>
      <c r="G31" s="14" t="n"/>
      <c r="H31" s="14" t="n"/>
      <c r="I31" s="15" t="n"/>
      <c r="J31" s="11" t="n"/>
    </row>
    <row r="32">
      <c r="A32" s="16" t="n"/>
      <c r="B32" s="17" t="n"/>
      <c r="C32" s="16" t="n"/>
      <c r="D32" s="16" t="n"/>
      <c r="E32" s="16" t="n"/>
      <c r="F32" s="18" t="n"/>
      <c r="G32" s="19" t="n"/>
      <c r="H32" s="19" t="n"/>
      <c r="I32" s="20" t="n"/>
      <c r="J32" s="16" t="n"/>
    </row>
    <row r="33">
      <c r="A33" s="11" t="n"/>
      <c r="B33" s="12" t="n"/>
      <c r="C33" s="11" t="n"/>
      <c r="D33" s="11" t="n"/>
      <c r="E33" s="11" t="n"/>
      <c r="F33" s="13" t="n"/>
      <c r="G33" s="14" t="n"/>
      <c r="H33" s="14" t="n"/>
      <c r="I33" s="15" t="n"/>
      <c r="J33" s="11" t="n"/>
    </row>
    <row r="34">
      <c r="A34" s="16" t="n"/>
      <c r="B34" s="17" t="n"/>
      <c r="C34" s="16" t="n"/>
      <c r="D34" s="16" t="n"/>
      <c r="E34" s="16" t="n"/>
      <c r="F34" s="18" t="n"/>
      <c r="G34" s="19" t="n"/>
      <c r="H34" s="19" t="n"/>
      <c r="I34" s="20" t="n"/>
      <c r="J34" s="16" t="n"/>
    </row>
    <row r="35">
      <c r="A35" s="11" t="n"/>
      <c r="B35" s="12" t="n"/>
      <c r="C35" s="11" t="n"/>
      <c r="D35" s="11" t="n"/>
      <c r="E35" s="11" t="n"/>
      <c r="F35" s="13" t="n"/>
      <c r="G35" s="14" t="n"/>
      <c r="H35" s="14" t="n"/>
      <c r="I35" s="15" t="n"/>
      <c r="J35" s="11" t="n"/>
    </row>
    <row r="36">
      <c r="A36" s="16" t="n"/>
      <c r="B36" s="17" t="n"/>
      <c r="C36" s="16" t="n"/>
      <c r="D36" s="16" t="n"/>
      <c r="E36" s="16" t="n"/>
      <c r="F36" s="18" t="n"/>
      <c r="G36" s="19" t="n"/>
      <c r="H36" s="19" t="n"/>
      <c r="I36" s="20" t="n"/>
      <c r="J36" s="16" t="n"/>
    </row>
    <row r="37">
      <c r="A37" s="11" t="n"/>
      <c r="B37" s="12" t="n"/>
      <c r="C37" s="11" t="n"/>
      <c r="D37" s="11" t="n"/>
      <c r="E37" s="11" t="n"/>
      <c r="F37" s="13" t="n"/>
      <c r="G37" s="14" t="n"/>
      <c r="H37" s="14" t="n"/>
      <c r="I37" s="15" t="n"/>
      <c r="J37" s="11" t="n"/>
    </row>
    <row r="38">
      <c r="A38" s="16" t="n"/>
      <c r="B38" s="17" t="n"/>
      <c r="C38" s="16" t="n"/>
      <c r="D38" s="16" t="n"/>
      <c r="E38" s="16" t="n"/>
      <c r="F38" s="18" t="n"/>
      <c r="G38" s="19" t="n"/>
      <c r="H38" s="19" t="n"/>
      <c r="I38" s="20" t="n"/>
      <c r="J38" s="16" t="n"/>
    </row>
    <row r="39">
      <c r="A39" s="11" t="n"/>
      <c r="B39" s="12" t="n"/>
      <c r="C39" s="11" t="n"/>
      <c r="D39" s="11" t="n"/>
      <c r="E39" s="11" t="n"/>
      <c r="F39" s="13" t="n"/>
      <c r="G39" s="14" t="n"/>
      <c r="H39" s="14" t="n"/>
      <c r="I39" s="15" t="n"/>
      <c r="J39" s="11" t="n"/>
    </row>
    <row r="40">
      <c r="A40" s="16" t="n"/>
      <c r="B40" s="17" t="n"/>
      <c r="C40" s="16" t="n"/>
      <c r="D40" s="16" t="n"/>
      <c r="E40" s="16" t="n"/>
      <c r="F40" s="18" t="n"/>
      <c r="G40" s="19" t="n"/>
      <c r="H40" s="19" t="n"/>
      <c r="I40" s="20" t="n"/>
      <c r="J40" s="16" t="n"/>
    </row>
    <row r="41">
      <c r="A41" s="11" t="n"/>
      <c r="B41" s="12" t="n"/>
      <c r="C41" s="11" t="n"/>
      <c r="D41" s="11" t="n"/>
      <c r="E41" s="11" t="n"/>
      <c r="F41" s="13" t="n"/>
      <c r="G41" s="14" t="n"/>
      <c r="H41" s="14" t="n"/>
      <c r="I41" s="15" t="n"/>
      <c r="J41" s="11" t="n"/>
    </row>
    <row r="42">
      <c r="A42" s="16" t="n"/>
      <c r="B42" s="17" t="n"/>
      <c r="C42" s="16" t="n"/>
      <c r="D42" s="16" t="n"/>
      <c r="E42" s="16" t="n"/>
      <c r="F42" s="18" t="n"/>
      <c r="G42" s="19" t="n"/>
      <c r="H42" s="19" t="n"/>
      <c r="I42" s="20" t="n"/>
      <c r="J42" s="16" t="n"/>
    </row>
    <row r="43">
      <c r="A43" s="11" t="n"/>
      <c r="B43" s="12" t="n"/>
      <c r="C43" s="11" t="n"/>
      <c r="D43" s="11" t="n"/>
      <c r="E43" s="11" t="n"/>
      <c r="F43" s="13" t="n"/>
      <c r="G43" s="14" t="n"/>
      <c r="H43" s="14" t="n"/>
      <c r="I43" s="15" t="n"/>
      <c r="J43" s="11" t="n"/>
    </row>
    <row r="44">
      <c r="A44" s="16" t="n"/>
      <c r="B44" s="17" t="n"/>
      <c r="C44" s="16" t="n"/>
      <c r="D44" s="16" t="n"/>
      <c r="E44" s="16" t="n"/>
      <c r="F44" s="18" t="n"/>
      <c r="G44" s="19" t="n"/>
      <c r="H44" s="19" t="n"/>
      <c r="I44" s="20" t="n"/>
      <c r="J44" s="16" t="n"/>
    </row>
    <row r="45">
      <c r="A45" s="11" t="n"/>
      <c r="B45" s="12" t="n"/>
      <c r="C45" s="11" t="n"/>
      <c r="D45" s="11" t="n"/>
      <c r="E45" s="11" t="n"/>
      <c r="F45" s="13" t="n"/>
      <c r="G45" s="14" t="n"/>
      <c r="H45" s="14" t="n"/>
      <c r="I45" s="15" t="n"/>
      <c r="J45" s="11" t="n"/>
    </row>
    <row r="46">
      <c r="A46" s="16" t="n"/>
      <c r="B46" s="17" t="n"/>
      <c r="C46" s="16" t="n"/>
      <c r="D46" s="16" t="n"/>
      <c r="E46" s="16" t="n"/>
      <c r="F46" s="18" t="n"/>
      <c r="G46" s="19" t="n"/>
      <c r="H46" s="19" t="n"/>
      <c r="I46" s="20" t="n"/>
      <c r="J46" s="16" t="n"/>
    </row>
    <row r="47">
      <c r="A47" s="11" t="n"/>
      <c r="B47" s="12" t="n"/>
      <c r="C47" s="11" t="n"/>
      <c r="D47" s="11" t="n"/>
      <c r="E47" s="11" t="n"/>
      <c r="F47" s="13" t="n"/>
      <c r="G47" s="14" t="n"/>
      <c r="H47" s="14" t="n"/>
      <c r="I47" s="15" t="n"/>
      <c r="J47" s="11" t="n"/>
    </row>
    <row r="48">
      <c r="A48" s="16" t="n"/>
      <c r="B48" s="17" t="n"/>
      <c r="C48" s="16" t="n"/>
      <c r="D48" s="16" t="n"/>
      <c r="E48" s="16" t="n"/>
      <c r="F48" s="18" t="n"/>
      <c r="G48" s="19" t="n"/>
      <c r="H48" s="19" t="n"/>
      <c r="I48" s="20" t="n"/>
      <c r="J48" s="16" t="n"/>
    </row>
    <row r="49">
      <c r="A49" s="11" t="n"/>
      <c r="B49" s="12" t="n"/>
      <c r="C49" s="11" t="n"/>
      <c r="D49" s="11" t="n"/>
      <c r="E49" s="11" t="n"/>
      <c r="F49" s="13" t="n"/>
      <c r="G49" s="14" t="n"/>
      <c r="H49" s="14" t="n"/>
      <c r="I49" s="15" t="n"/>
      <c r="J49" s="11" t="n"/>
    </row>
    <row r="50">
      <c r="A50" s="16" t="n"/>
      <c r="B50" s="17" t="n"/>
      <c r="C50" s="16" t="n"/>
      <c r="D50" s="16" t="n"/>
      <c r="E50" s="16" t="n"/>
      <c r="F50" s="18" t="n"/>
      <c r="G50" s="19" t="n"/>
      <c r="H50" s="19" t="n"/>
      <c r="I50" s="20" t="n"/>
      <c r="J50" s="16" t="n"/>
    </row>
    <row r="51">
      <c r="A51" s="11" t="n"/>
      <c r="B51" s="12" t="n"/>
      <c r="C51" s="11" t="n"/>
      <c r="D51" s="11" t="n"/>
      <c r="E51" s="11" t="n"/>
      <c r="F51" s="13" t="n"/>
      <c r="G51" s="14" t="n"/>
      <c r="H51" s="14" t="n"/>
      <c r="I51" s="15" t="n"/>
      <c r="J51" s="11" t="n"/>
    </row>
    <row r="52">
      <c r="A52" s="16" t="n"/>
      <c r="B52" s="17" t="n"/>
      <c r="C52" s="16" t="n"/>
      <c r="D52" s="16" t="n"/>
      <c r="E52" s="16" t="n"/>
      <c r="F52" s="18" t="n"/>
      <c r="G52" s="19" t="n"/>
      <c r="H52" s="19" t="n"/>
      <c r="I52" s="20" t="n"/>
      <c r="J52" s="16" t="n"/>
    </row>
    <row r="53">
      <c r="A53" s="11" t="n"/>
      <c r="B53" s="12" t="n"/>
      <c r="C53" s="11" t="n"/>
      <c r="D53" s="11" t="n"/>
      <c r="E53" s="11" t="n"/>
      <c r="F53" s="13" t="n"/>
      <c r="G53" s="14" t="n"/>
      <c r="H53" s="14" t="n"/>
      <c r="I53" s="15" t="n"/>
      <c r="J53" s="11" t="n"/>
    </row>
    <row r="54">
      <c r="A54" s="16" t="n"/>
      <c r="B54" s="17" t="n"/>
      <c r="C54" s="16" t="n"/>
      <c r="D54" s="16" t="n"/>
      <c r="E54" s="16" t="n"/>
      <c r="F54" s="18" t="n"/>
      <c r="G54" s="19" t="n"/>
      <c r="H54" s="19" t="n"/>
      <c r="I54" s="20" t="n"/>
      <c r="J54" s="16" t="n"/>
    </row>
  </sheetData>
  <sheetProtection selectLockedCells="1" selectUnlockedCells="1" sheet="1" objects="0" insertRows="0" insertHyperlinks="1" autoFilter="1" scenarios="0" formatColumns="0" deleteColumns="1" insertColumns="1" pivotTables="1" deleteRows="1" formatCells="0" formatRows="0" sort="1" password="CE4B"/>
  <mergeCells count="2">
    <mergeCell ref="A1:J1"/>
    <mergeCell ref="A2:J2"/>
  </mergeCells>
  <dataValidations count="4">
    <dataValidation sqref="C5:C54" showDropDown="0" showInputMessage="0" showErrorMessage="0" allowBlank="1" type="list">
      <formula1>=ListaMarcas</formula1>
    </dataValidation>
    <dataValidation sqref="D5:D54" showDropDown="0" showInputMessage="0" showErrorMessage="0" allowBlank="1" type="list">
      <formula1>=ListaCategorias</formula1>
    </dataValidation>
    <dataValidation sqref="E5:E54" showDropDown="0" showInputMessage="0" showErrorMessage="0" allowBlank="1" type="list">
      <formula1>=ListaFornecedores</formula1>
    </dataValidation>
    <dataValidation sqref="J5:J54" showDropDown="0" showInputMessage="0" showErrorMessage="0" allowBlank="1" type="list">
      <formula1>=ListaStatus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0" customWidth="1" min="3" max="3"/>
    <col width="34" customWidth="1" min="4" max="4"/>
  </cols>
  <sheetData>
    <row r="1" ht="34" customHeight="1">
      <c r="A1" s="6" t="inlineStr">
        <is>
          <t>CUSTOS FIXOS DO FATIAMENTO</t>
        </is>
      </c>
    </row>
    <row r="2">
      <c r="A2" s="7" t="inlineStr">
        <is>
          <t>Informe o valor de cada custo e a base (Por kg = multiplica pelo peso vendido; Por peca = aplica 1x por peca aberta).</t>
        </is>
      </c>
    </row>
    <row r="3" ht="20" customHeight="1">
      <c r="A3" s="8" t="inlineStr">
        <is>
          <t>Inicio</t>
        </is>
      </c>
      <c r="B3" s="8" t="inlineStr">
        <is>
          <t>Produtos</t>
        </is>
      </c>
      <c r="C3" s="9" t="inlineStr">
        <is>
          <t>Custos</t>
        </is>
      </c>
      <c r="D3" s="8" t="inlineStr">
        <is>
          <t>Fatiamento</t>
        </is>
      </c>
      <c r="E3" s="8" t="inlineStr">
        <is>
          <t>Dashboard</t>
        </is>
      </c>
      <c r="F3" s="8" t="inlineStr">
        <is>
          <t>Relatorios</t>
        </is>
      </c>
    </row>
    <row r="4">
      <c r="A4" s="10" t="inlineStr">
        <is>
          <t>Item de custo</t>
        </is>
      </c>
      <c r="B4" s="10" t="inlineStr">
        <is>
          <t>Base</t>
        </is>
      </c>
      <c r="C4" s="10" t="inlineStr">
        <is>
          <t>Valor (R$)</t>
        </is>
      </c>
      <c r="D4" s="10" t="inlineStr">
        <is>
          <t>Observacao</t>
        </is>
      </c>
    </row>
    <row r="5">
      <c r="A5" s="21" t="inlineStr">
        <is>
          <t>Embalagem</t>
        </is>
      </c>
      <c r="B5" s="22" t="inlineStr">
        <is>
          <t>Por kg</t>
        </is>
      </c>
      <c r="C5" s="23" t="n">
        <v>0.4</v>
      </c>
      <c r="D5" s="24" t="inlineStr">
        <is>
          <t>Bandeja / saco plastico por kg vendido</t>
        </is>
      </c>
    </row>
    <row r="6">
      <c r="A6" s="21" t="inlineStr">
        <is>
          <t>Etiqueta</t>
        </is>
      </c>
      <c r="B6" s="22" t="inlineStr">
        <is>
          <t>Por kg</t>
        </is>
      </c>
      <c r="C6" s="23" t="n">
        <v>0.1</v>
      </c>
      <c r="D6" s="24" t="inlineStr">
        <is>
          <t>Etiqueta de balanca por kg vendido</t>
        </is>
      </c>
    </row>
    <row r="7">
      <c r="A7" s="21" t="inlineStr">
        <is>
          <t>Filme plastico</t>
        </is>
      </c>
      <c r="B7" s="22" t="inlineStr">
        <is>
          <t>Por kg</t>
        </is>
      </c>
      <c r="C7" s="23" t="n">
        <v>0.08</v>
      </c>
      <c r="D7" s="24" t="inlineStr">
        <is>
          <t>Filme para embalar</t>
        </is>
      </c>
    </row>
    <row r="8">
      <c r="A8" s="21" t="inlineStr">
        <is>
          <t>Energia</t>
        </is>
      </c>
      <c r="B8" s="22" t="inlineStr">
        <is>
          <t>Por peca</t>
        </is>
      </c>
      <c r="C8" s="23" t="n">
        <v>0.5</v>
      </c>
      <c r="D8" s="24" t="inlineStr">
        <is>
          <t>Consumo da fatiadora por peca aberta</t>
        </is>
      </c>
    </row>
    <row r="9">
      <c r="A9" s="21" t="inlineStr">
        <is>
          <t>Desgaste da maquina</t>
        </is>
      </c>
      <c r="B9" s="22" t="inlineStr">
        <is>
          <t>Por peca</t>
        </is>
      </c>
      <c r="C9" s="23" t="n">
        <v>0.3</v>
      </c>
      <c r="D9" s="24" t="inlineStr">
        <is>
          <t>Manutencao/lamina rateada por peca</t>
        </is>
      </c>
    </row>
    <row r="10">
      <c r="A10" s="21" t="inlineStr">
        <is>
          <t>Produtos de limpeza</t>
        </is>
      </c>
      <c r="B10" s="22" t="inlineStr">
        <is>
          <t>Por peca</t>
        </is>
      </c>
      <c r="C10" s="23" t="n">
        <v>0.2</v>
      </c>
      <c r="D10" s="24" t="inlineStr">
        <is>
          <t>Higienizacao por peca</t>
        </is>
      </c>
    </row>
    <row r="11">
      <c r="A11" s="21" t="inlineStr">
        <is>
          <t>Mao de obra</t>
        </is>
      </c>
      <c r="B11" s="22" t="inlineStr">
        <is>
          <t>Por kg</t>
        </is>
      </c>
      <c r="C11" s="23" t="n">
        <v>1.2</v>
      </c>
      <c r="D11" s="24" t="inlineStr">
        <is>
          <t>Custo do operador por kg fatiado</t>
        </is>
      </c>
    </row>
    <row r="14">
      <c r="A14" s="25" t="inlineStr">
        <is>
          <t>PARAMETROS DE META</t>
        </is>
      </c>
    </row>
    <row r="15">
      <c r="A15" s="21" t="inlineStr">
        <is>
          <t>Meta de perda (%)</t>
        </is>
      </c>
      <c r="B15" s="26" t="n">
        <v>0.05</v>
      </c>
      <c r="C15" s="27" t="inlineStr">
        <is>
          <t>Abaixo desta meta = desempenho saudavel</t>
        </is>
      </c>
    </row>
    <row r="16">
      <c r="A16" s="21" t="inlineStr">
        <is>
          <t>Perda MAXIMA permitida (%)</t>
        </is>
      </c>
      <c r="B16" s="26" t="n">
        <v>0.08</v>
      </c>
      <c r="C16" s="27" t="inlineStr">
        <is>
          <t>Acima disso dispara alerta vermelho</t>
        </is>
      </c>
    </row>
  </sheetData>
  <sheetProtection selectLockedCells="1" selectUnlockedCells="1" sheet="1" objects="0" insertRows="0" insertHyperlinks="1" autoFilter="1" scenarios="0" formatColumns="0" deleteColumns="1" insertColumns="1" pivotTables="1" deleteRows="1" formatCells="0" formatRows="0" sort="1" password="CE4B"/>
  <mergeCells count="2">
    <mergeCell ref="A1:D1"/>
    <mergeCell ref="A2:D2"/>
  </mergeCells>
  <dataValidations count="1">
    <dataValidation sqref="B5:B11" showDropDown="0" showInputMessage="0" showErrorMessage="0" allowBlank="1" type="list">
      <formula1>=ListaBase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2" customWidth="1" min="4" max="4"/>
    <col width="8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2" customWidth="1" min="15" max="15"/>
    <col width="20" customWidth="1" min="16" max="16"/>
    <col width="11" customWidth="1" min="17" max="17"/>
    <col width="9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9" customWidth="1" min="32" max="32"/>
    <col width="8" customWidth="1" min="33" max="33"/>
    <col width="12" customWidth="1" min="34" max="34"/>
    <col width="14" customWidth="1" min="35" max="35"/>
    <col width="13" customWidth="1" min="36" max="36"/>
    <col width="15" customWidth="1" min="37" max="37"/>
    <col width="10" customWidth="1" min="38" max="38"/>
  </cols>
  <sheetData>
    <row r="1" ht="34" customHeight="1">
      <c r="A1" s="6" t="inlineStr">
        <is>
          <t>CONTROLE DE FATIAMENTO</t>
        </is>
      </c>
    </row>
    <row r="2">
      <c r="A2" s="7" t="inlineStr">
        <is>
          <t>Aba principal. Preencha os campos amarelos; as colunas azuis calculam sozinhas. Congelado ate a coluna Produto.</t>
        </is>
      </c>
    </row>
    <row r="3" ht="20" customHeight="1">
      <c r="A3" s="8" t="inlineStr">
        <is>
          <t>Inicio</t>
        </is>
      </c>
      <c r="B3" s="8" t="inlineStr">
        <is>
          <t>Produtos</t>
        </is>
      </c>
      <c r="C3" s="8" t="inlineStr">
        <is>
          <t>Custos</t>
        </is>
      </c>
      <c r="D3" s="9" t="inlineStr">
        <is>
          <t>Fatiamento</t>
        </is>
      </c>
      <c r="E3" s="8" t="inlineStr">
        <is>
          <t>Dashboard</t>
        </is>
      </c>
      <c r="F3" s="8" t="inlineStr">
        <is>
          <t>Relatorios</t>
        </is>
      </c>
    </row>
    <row r="4">
      <c r="A4" s="10" t="inlineStr">
        <is>
          <t>Data</t>
        </is>
      </c>
      <c r="B4" s="10" t="inlineStr">
        <is>
          <t>Funcionario</t>
        </is>
      </c>
      <c r="C4" s="10" t="inlineStr">
        <is>
          <t>Produto</t>
        </is>
      </c>
      <c r="D4" s="10" t="inlineStr">
        <is>
          <t>Marca</t>
        </is>
      </c>
      <c r="E4" s="10" t="inlineStr">
        <is>
          <t>N peca</t>
        </is>
      </c>
      <c r="F4" s="10" t="inlineStr">
        <is>
          <t>Peso antes (kg)</t>
        </is>
      </c>
      <c r="G4" s="10" t="inlineStr">
        <is>
          <t>Valor pago /kg</t>
        </is>
      </c>
      <c r="H4" s="10" t="inlineStr">
        <is>
          <t>Valor total peca</t>
        </is>
      </c>
      <c r="I4" s="10" t="inlineStr">
        <is>
          <t>Peso vendido (kg)</t>
        </is>
      </c>
      <c r="J4" s="10" t="inlineStr">
        <is>
          <t>Peso descartado (kg)</t>
        </is>
      </c>
      <c r="K4" s="10" t="inlineStr">
        <is>
          <t>Peso amostra (kg)</t>
        </is>
      </c>
      <c r="L4" s="10" t="inlineStr">
        <is>
          <t>Peso limpeza (kg)</t>
        </is>
      </c>
      <c r="M4" s="10" t="inlineStr">
        <is>
          <t>Peso restante (kg)</t>
        </is>
      </c>
      <c r="N4" s="10" t="inlineStr">
        <is>
          <t>Motivo das perdas</t>
        </is>
      </c>
      <c r="O4" s="10" t="inlineStr">
        <is>
          <t>Preco venda /kg</t>
        </is>
      </c>
      <c r="P4" s="10" t="inlineStr">
        <is>
          <t>Observacoes</t>
        </is>
      </c>
      <c r="Q4" s="10" t="inlineStr">
        <is>
          <t>Peso perdido (kg)</t>
        </is>
      </c>
      <c r="R4" s="10" t="inlineStr">
        <is>
          <t>% perda</t>
        </is>
      </c>
      <c r="S4" s="10" t="inlineStr">
        <is>
          <t>Valor perdido</t>
        </is>
      </c>
      <c r="T4" s="10" t="inlineStr">
        <is>
          <t>Custo da perda</t>
        </is>
      </c>
      <c r="U4" s="10" t="inlineStr">
        <is>
          <t>Custo embalagens</t>
        </is>
      </c>
      <c r="V4" s="10" t="inlineStr">
        <is>
          <t>Custo etiquetas</t>
        </is>
      </c>
      <c r="W4" s="10" t="inlineStr">
        <is>
          <t>Custo mao de obra</t>
        </is>
      </c>
      <c r="X4" s="10" t="inlineStr">
        <is>
          <t>Custo energia</t>
        </is>
      </c>
      <c r="Y4" s="10" t="inlineStr">
        <is>
          <t>Outros custos op.</t>
        </is>
      </c>
      <c r="Z4" s="10" t="inlineStr">
        <is>
          <t>Custo operacional</t>
        </is>
      </c>
      <c r="AA4" s="10" t="inlineStr">
        <is>
          <t>Custo total peca</t>
        </is>
      </c>
      <c r="AB4" s="10" t="inlineStr">
        <is>
          <t>Custo real /kg vendido</t>
        </is>
      </c>
      <c r="AC4" s="10" t="inlineStr">
        <is>
          <t>Receita</t>
        </is>
      </c>
      <c r="AD4" s="10" t="inlineStr">
        <is>
          <t>Lucro bruto</t>
        </is>
      </c>
      <c r="AE4" s="10" t="inlineStr">
        <is>
          <t>Lucro liquido</t>
        </is>
      </c>
      <c r="AF4" s="10" t="inlineStr">
        <is>
          <t>Margem %</t>
        </is>
      </c>
      <c r="AG4" s="10" t="inlineStr">
        <is>
          <t>Markup</t>
        </is>
      </c>
      <c r="AH4" s="10" t="inlineStr">
        <is>
          <t>Preco minimo</t>
        </is>
      </c>
      <c r="AI4" s="10" t="inlineStr">
        <is>
          <t>Preco ideal (margem)</t>
        </is>
      </c>
      <c r="AJ4" s="10" t="inlineStr">
        <is>
          <t>Categoria</t>
        </is>
      </c>
      <c r="AK4" s="10" t="inlineStr">
        <is>
          <t>Fornecedor</t>
        </is>
      </c>
      <c r="AL4" s="10" t="inlineStr">
        <is>
          <t>Mes</t>
        </is>
      </c>
    </row>
    <row r="5">
      <c r="A5" s="28" t="n">
        <v>46204</v>
      </c>
      <c r="B5" s="12" t="inlineStr">
        <is>
          <t>Joao</t>
        </is>
      </c>
      <c r="C5" s="12" t="inlineStr">
        <is>
          <t>Mussarela</t>
        </is>
      </c>
      <c r="D5" s="29">
        <f>IF($C5="","",IFERROR(INDEX(Prod_Marca,MATCH($C5,Prod_Nome,0)),""))</f>
        <v/>
      </c>
      <c r="E5" s="11" t="n">
        <v>1</v>
      </c>
      <c r="F5" s="13" t="n">
        <v>4.1</v>
      </c>
      <c r="G5" s="14" t="n">
        <v>32</v>
      </c>
      <c r="H5" s="30">
        <f>IF($C5="","",$F5*$G5)</f>
        <v/>
      </c>
      <c r="I5" s="13" t="n">
        <v>3.6</v>
      </c>
      <c r="J5" s="13" t="n">
        <v>0.18</v>
      </c>
      <c r="K5" s="13" t="n">
        <v>0.05</v>
      </c>
      <c r="L5" s="13" t="n">
        <v>0.07000000000000001</v>
      </c>
      <c r="M5" s="13" t="n">
        <v>0.2</v>
      </c>
      <c r="N5" s="12" t="inlineStr">
        <is>
          <t>Aparas/Casca</t>
        </is>
      </c>
      <c r="O5" s="30">
        <f>IF($C5="","",IFERROR(INDEX(Prod_PrecoVenda,MATCH($C5,Prod_Nome,0)),0))</f>
        <v/>
      </c>
      <c r="P5" s="12" t="inlineStr"/>
      <c r="Q5" s="31">
        <f>IF($C5="","",$J5+$K5+$L5)</f>
        <v/>
      </c>
      <c r="R5" s="32">
        <f>IF($C5="","",IFERROR((Q5)/$F5,0))</f>
        <v/>
      </c>
      <c r="S5" s="30">
        <f>IF($C5="","",(Q5)*$G5)</f>
        <v/>
      </c>
      <c r="T5" s="30">
        <f>IF($C5="","",(Q5)*$G5)</f>
        <v/>
      </c>
      <c r="U5" s="30">
        <f>IF($C5="","",vEmbalagem*IF(bEmbalagem="Por kg",$I5,1))</f>
        <v/>
      </c>
      <c r="V5" s="30">
        <f>IF($C5="","",vEtiqueta*IF(bEtiqueta="Por kg",$I5,1))</f>
        <v/>
      </c>
      <c r="W5" s="30">
        <f>IF($C5="","",vMaoObra*IF(bMaoObra="Por kg",$I5,1))</f>
        <v/>
      </c>
      <c r="X5" s="30">
        <f>IF($C5="","",vEnergia*IF(bEnergia="Por kg",$I5,1))</f>
        <v/>
      </c>
      <c r="Y5" s="30">
        <f>IF($C5="","",vFilme*IF(bFilme="Por kg",$I5,1)+vDesgaste*IF(bDesgaste="Por kg",$I5,1)+vLimpeza*IF(bLimpeza="Por kg",$I5,1))</f>
        <v/>
      </c>
      <c r="Z5" s="30">
        <f>IF($C5="","",U5+V5+W5+X5+Y5)</f>
        <v/>
      </c>
      <c r="AA5" s="30">
        <f>IF($C5="","",H5+Z5)</f>
        <v/>
      </c>
      <c r="AB5" s="30">
        <f>IF($C5="","",IFERROR(AA5/$I5,0))</f>
        <v/>
      </c>
      <c r="AC5" s="30">
        <f>IF($C5="","",$I5*O5)</f>
        <v/>
      </c>
      <c r="AD5" s="30">
        <f>IF($C5="","",AC5-H5)</f>
        <v/>
      </c>
      <c r="AE5" s="30">
        <f>IF($C5="","",AC5-AA5)</f>
        <v/>
      </c>
      <c r="AF5" s="32">
        <f>IF($C5="","",IFERROR(AE5/AC5,0))</f>
        <v/>
      </c>
      <c r="AG5" s="33">
        <f>IF($C5="","",IFERROR(O5/AB5,0))</f>
        <v/>
      </c>
      <c r="AH5" s="30">
        <f>IF($C5="","",AB5)</f>
        <v/>
      </c>
      <c r="AI5" s="30">
        <f>IF($C5="","",IFERROR(AB5/(1-IFERROR(INDEX(Prod_Margem,MATCH($C5,Prod_Nome,0)),0)),0))</f>
        <v/>
      </c>
      <c r="AJ5" s="29">
        <f>IF($C5="","",IFERROR(INDEX(Prod_Categoria,MATCH($C5,Prod_Nome,0)),""))</f>
        <v/>
      </c>
      <c r="AK5" s="29">
        <f>IF($C5="","",IFERROR(INDEX(Prod_Fornecedor,MATCH($C5,Prod_Nome,0)),""))</f>
        <v/>
      </c>
      <c r="AL5" s="34">
        <f>IF($A5="","",DATE(YEAR($A5),MONTH($A5),1))</f>
        <v/>
      </c>
    </row>
    <row r="6">
      <c r="A6" s="35" t="n">
        <v>46205</v>
      </c>
      <c r="B6" s="17" t="inlineStr">
        <is>
          <t>Maria</t>
        </is>
      </c>
      <c r="C6" s="17" t="inlineStr">
        <is>
          <t>Presunto Cozido</t>
        </is>
      </c>
      <c r="D6" s="29">
        <f>IF($C6="","",IFERROR(INDEX(Prod_Marca,MATCH($C6,Prod_Nome,0)),""))</f>
        <v/>
      </c>
      <c r="E6" s="16" t="n">
        <v>2</v>
      </c>
      <c r="F6" s="18" t="n">
        <v>3.6</v>
      </c>
      <c r="G6" s="19" t="n">
        <v>24</v>
      </c>
      <c r="H6" s="30">
        <f>IF($C6="","",$F6*$G6)</f>
        <v/>
      </c>
      <c r="I6" s="18" t="n">
        <v>3.2</v>
      </c>
      <c r="J6" s="18" t="n">
        <v>0.12</v>
      </c>
      <c r="K6" s="18" t="n">
        <v>0.06</v>
      </c>
      <c r="L6" s="18" t="n">
        <v>0.05</v>
      </c>
      <c r="M6" s="18" t="n">
        <v>0.17</v>
      </c>
      <c r="N6" s="17" t="inlineStr">
        <is>
          <t>Ponta da peca</t>
        </is>
      </c>
      <c r="O6" s="30">
        <f>IF($C6="","",IFERROR(INDEX(Prod_PrecoVenda,MATCH($C6,Prod_Nome,0)),0))</f>
        <v/>
      </c>
      <c r="P6" s="17" t="inlineStr"/>
      <c r="Q6" s="31">
        <f>IF($C6="","",$J6+$K6+$L6)</f>
        <v/>
      </c>
      <c r="R6" s="32">
        <f>IF($C6="","",IFERROR((Q6)/$F6,0))</f>
        <v/>
      </c>
      <c r="S6" s="30">
        <f>IF($C6="","",(Q6)*$G6)</f>
        <v/>
      </c>
      <c r="T6" s="30">
        <f>IF($C6="","",(Q6)*$G6)</f>
        <v/>
      </c>
      <c r="U6" s="30">
        <f>IF($C6="","",vEmbalagem*IF(bEmbalagem="Por kg",$I6,1))</f>
        <v/>
      </c>
      <c r="V6" s="30">
        <f>IF($C6="","",vEtiqueta*IF(bEtiqueta="Por kg",$I6,1))</f>
        <v/>
      </c>
      <c r="W6" s="30">
        <f>IF($C6="","",vMaoObra*IF(bMaoObra="Por kg",$I6,1))</f>
        <v/>
      </c>
      <c r="X6" s="30">
        <f>IF($C6="","",vEnergia*IF(bEnergia="Por kg",$I6,1))</f>
        <v/>
      </c>
      <c r="Y6" s="30">
        <f>IF($C6="","",vFilme*IF(bFilme="Por kg",$I6,1)+vDesgaste*IF(bDesgaste="Por kg",$I6,1)+vLimpeza*IF(bLimpeza="Por kg",$I6,1))</f>
        <v/>
      </c>
      <c r="Z6" s="30">
        <f>IF($C6="","",U6+V6+W6+X6+Y6)</f>
        <v/>
      </c>
      <c r="AA6" s="30">
        <f>IF($C6="","",H6+Z6)</f>
        <v/>
      </c>
      <c r="AB6" s="30">
        <f>IF($C6="","",IFERROR(AA6/$I6,0))</f>
        <v/>
      </c>
      <c r="AC6" s="30">
        <f>IF($C6="","",$I6*O6)</f>
        <v/>
      </c>
      <c r="AD6" s="30">
        <f>IF($C6="","",AC6-H6)</f>
        <v/>
      </c>
      <c r="AE6" s="30">
        <f>IF($C6="","",AC6-AA6)</f>
        <v/>
      </c>
      <c r="AF6" s="32">
        <f>IF($C6="","",IFERROR(AE6/AC6,0))</f>
        <v/>
      </c>
      <c r="AG6" s="33">
        <f>IF($C6="","",IFERROR(O6/AB6,0))</f>
        <v/>
      </c>
      <c r="AH6" s="30">
        <f>IF($C6="","",AB6)</f>
        <v/>
      </c>
      <c r="AI6" s="30">
        <f>IF($C6="","",IFERROR(AB6/(1-IFERROR(INDEX(Prod_Margem,MATCH($C6,Prod_Nome,0)),0)),0))</f>
        <v/>
      </c>
      <c r="AJ6" s="29">
        <f>IF($C6="","",IFERROR(INDEX(Prod_Categoria,MATCH($C6,Prod_Nome,0)),""))</f>
        <v/>
      </c>
      <c r="AK6" s="29">
        <f>IF($C6="","",IFERROR(INDEX(Prod_Fornecedor,MATCH($C6,Prod_Nome,0)),""))</f>
        <v/>
      </c>
      <c r="AL6" s="34">
        <f>IF($A6="","",DATE(YEAR($A6),MONTH($A6),1))</f>
        <v/>
      </c>
    </row>
    <row r="7">
      <c r="A7" s="28" t="n">
        <v>46206</v>
      </c>
      <c r="B7" s="12" t="inlineStr">
        <is>
          <t>Carlos</t>
        </is>
      </c>
      <c r="C7" s="12" t="inlineStr">
        <is>
          <t>Mortadela</t>
        </is>
      </c>
      <c r="D7" s="29">
        <f>IF($C7="","",IFERROR(INDEX(Prod_Marca,MATCH($C7,Prod_Nome,0)),""))</f>
        <v/>
      </c>
      <c r="E7" s="11" t="n">
        <v>3</v>
      </c>
      <c r="F7" s="13" t="n">
        <v>3.05</v>
      </c>
      <c r="G7" s="14" t="n">
        <v>14</v>
      </c>
      <c r="H7" s="30">
        <f>IF($C7="","",$F7*$G7)</f>
        <v/>
      </c>
      <c r="I7" s="13" t="n">
        <v>2.55</v>
      </c>
      <c r="J7" s="13" t="n">
        <v>0.2</v>
      </c>
      <c r="K7" s="13" t="n">
        <v>0.08</v>
      </c>
      <c r="L7" s="13" t="n">
        <v>0.06</v>
      </c>
      <c r="M7" s="13" t="n">
        <v>0.16</v>
      </c>
      <c r="N7" s="12" t="inlineStr">
        <is>
          <t>Aparas/Casca</t>
        </is>
      </c>
      <c r="O7" s="30">
        <f>IF($C7="","",IFERROR(INDEX(Prod_PrecoVenda,MATCH($C7,Prod_Nome,0)),0))</f>
        <v/>
      </c>
      <c r="P7" s="12" t="inlineStr">
        <is>
          <t>Peca com muita casca</t>
        </is>
      </c>
      <c r="Q7" s="31">
        <f>IF($C7="","",$J7+$K7+$L7)</f>
        <v/>
      </c>
      <c r="R7" s="32">
        <f>IF($C7="","",IFERROR((Q7)/$F7,0))</f>
        <v/>
      </c>
      <c r="S7" s="30">
        <f>IF($C7="","",(Q7)*$G7)</f>
        <v/>
      </c>
      <c r="T7" s="30">
        <f>IF($C7="","",(Q7)*$G7)</f>
        <v/>
      </c>
      <c r="U7" s="30">
        <f>IF($C7="","",vEmbalagem*IF(bEmbalagem="Por kg",$I7,1))</f>
        <v/>
      </c>
      <c r="V7" s="30">
        <f>IF($C7="","",vEtiqueta*IF(bEtiqueta="Por kg",$I7,1))</f>
        <v/>
      </c>
      <c r="W7" s="30">
        <f>IF($C7="","",vMaoObra*IF(bMaoObra="Por kg",$I7,1))</f>
        <v/>
      </c>
      <c r="X7" s="30">
        <f>IF($C7="","",vEnergia*IF(bEnergia="Por kg",$I7,1))</f>
        <v/>
      </c>
      <c r="Y7" s="30">
        <f>IF($C7="","",vFilme*IF(bFilme="Por kg",$I7,1)+vDesgaste*IF(bDesgaste="Por kg",$I7,1)+vLimpeza*IF(bLimpeza="Por kg",$I7,1))</f>
        <v/>
      </c>
      <c r="Z7" s="30">
        <f>IF($C7="","",U7+V7+W7+X7+Y7)</f>
        <v/>
      </c>
      <c r="AA7" s="30">
        <f>IF($C7="","",H7+Z7)</f>
        <v/>
      </c>
      <c r="AB7" s="30">
        <f>IF($C7="","",IFERROR(AA7/$I7,0))</f>
        <v/>
      </c>
      <c r="AC7" s="30">
        <f>IF($C7="","",$I7*O7)</f>
        <v/>
      </c>
      <c r="AD7" s="30">
        <f>IF($C7="","",AC7-H7)</f>
        <v/>
      </c>
      <c r="AE7" s="30">
        <f>IF($C7="","",AC7-AA7)</f>
        <v/>
      </c>
      <c r="AF7" s="32">
        <f>IF($C7="","",IFERROR(AE7/AC7,0))</f>
        <v/>
      </c>
      <c r="AG7" s="33">
        <f>IF($C7="","",IFERROR(O7/AB7,0))</f>
        <v/>
      </c>
      <c r="AH7" s="30">
        <f>IF($C7="","",AB7)</f>
        <v/>
      </c>
      <c r="AI7" s="30">
        <f>IF($C7="","",IFERROR(AB7/(1-IFERROR(INDEX(Prod_Margem,MATCH($C7,Prod_Nome,0)),0)),0))</f>
        <v/>
      </c>
      <c r="AJ7" s="29">
        <f>IF($C7="","",IFERROR(INDEX(Prod_Categoria,MATCH($C7,Prod_Nome,0)),""))</f>
        <v/>
      </c>
      <c r="AK7" s="29">
        <f>IF($C7="","",IFERROR(INDEX(Prod_Fornecedor,MATCH($C7,Prod_Nome,0)),""))</f>
        <v/>
      </c>
      <c r="AL7" s="34">
        <f>IF($A7="","",DATE(YEAR($A7),MONTH($A7),1))</f>
        <v/>
      </c>
    </row>
    <row r="8">
      <c r="A8" s="35" t="n">
        <v>46208</v>
      </c>
      <c r="B8" s="17" t="inlineStr">
        <is>
          <t>Ana</t>
        </is>
      </c>
      <c r="C8" s="17" t="inlineStr">
        <is>
          <t>Queijo Prato</t>
        </is>
      </c>
      <c r="D8" s="29">
        <f>IF($C8="","",IFERROR(INDEX(Prod_Marca,MATCH($C8,Prod_Nome,0)),""))</f>
        <v/>
      </c>
      <c r="E8" s="16" t="n">
        <v>4</v>
      </c>
      <c r="F8" s="18" t="n">
        <v>3.8</v>
      </c>
      <c r="G8" s="19" t="n">
        <v>34</v>
      </c>
      <c r="H8" s="30">
        <f>IF($C8="","",$F8*$G8)</f>
        <v/>
      </c>
      <c r="I8" s="18" t="n">
        <v>3.45</v>
      </c>
      <c r="J8" s="18" t="n">
        <v>0.1</v>
      </c>
      <c r="K8" s="18" t="n">
        <v>0.04</v>
      </c>
      <c r="L8" s="18" t="n">
        <v>0.05</v>
      </c>
      <c r="M8" s="18" t="n">
        <v>0.16</v>
      </c>
      <c r="N8" s="17" t="inlineStr">
        <is>
          <t>Amostra ao cliente</t>
        </is>
      </c>
      <c r="O8" s="30">
        <f>IF($C8="","",IFERROR(INDEX(Prod_PrecoVenda,MATCH($C8,Prod_Nome,0)),0))</f>
        <v/>
      </c>
      <c r="P8" s="17" t="inlineStr"/>
      <c r="Q8" s="31">
        <f>IF($C8="","",$J8+$K8+$L8)</f>
        <v/>
      </c>
      <c r="R8" s="32">
        <f>IF($C8="","",IFERROR((Q8)/$F8,0))</f>
        <v/>
      </c>
      <c r="S8" s="30">
        <f>IF($C8="","",(Q8)*$G8)</f>
        <v/>
      </c>
      <c r="T8" s="30">
        <f>IF($C8="","",(Q8)*$G8)</f>
        <v/>
      </c>
      <c r="U8" s="30">
        <f>IF($C8="","",vEmbalagem*IF(bEmbalagem="Por kg",$I8,1))</f>
        <v/>
      </c>
      <c r="V8" s="30">
        <f>IF($C8="","",vEtiqueta*IF(bEtiqueta="Por kg",$I8,1))</f>
        <v/>
      </c>
      <c r="W8" s="30">
        <f>IF($C8="","",vMaoObra*IF(bMaoObra="Por kg",$I8,1))</f>
        <v/>
      </c>
      <c r="X8" s="30">
        <f>IF($C8="","",vEnergia*IF(bEnergia="Por kg",$I8,1))</f>
        <v/>
      </c>
      <c r="Y8" s="30">
        <f>IF($C8="","",vFilme*IF(bFilme="Por kg",$I8,1)+vDesgaste*IF(bDesgaste="Por kg",$I8,1)+vLimpeza*IF(bLimpeza="Por kg",$I8,1))</f>
        <v/>
      </c>
      <c r="Z8" s="30">
        <f>IF($C8="","",U8+V8+W8+X8+Y8)</f>
        <v/>
      </c>
      <c r="AA8" s="30">
        <f>IF($C8="","",H8+Z8)</f>
        <v/>
      </c>
      <c r="AB8" s="30">
        <f>IF($C8="","",IFERROR(AA8/$I8,0))</f>
        <v/>
      </c>
      <c r="AC8" s="30">
        <f>IF($C8="","",$I8*O8)</f>
        <v/>
      </c>
      <c r="AD8" s="30">
        <f>IF($C8="","",AC8-H8)</f>
        <v/>
      </c>
      <c r="AE8" s="30">
        <f>IF($C8="","",AC8-AA8)</f>
        <v/>
      </c>
      <c r="AF8" s="32">
        <f>IF($C8="","",IFERROR(AE8/AC8,0))</f>
        <v/>
      </c>
      <c r="AG8" s="33">
        <f>IF($C8="","",IFERROR(O8/AB8,0))</f>
        <v/>
      </c>
      <c r="AH8" s="30">
        <f>IF($C8="","",AB8)</f>
        <v/>
      </c>
      <c r="AI8" s="30">
        <f>IF($C8="","",IFERROR(AB8/(1-IFERROR(INDEX(Prod_Margem,MATCH($C8,Prod_Nome,0)),0)),0))</f>
        <v/>
      </c>
      <c r="AJ8" s="29">
        <f>IF($C8="","",IFERROR(INDEX(Prod_Categoria,MATCH($C8,Prod_Nome,0)),""))</f>
        <v/>
      </c>
      <c r="AK8" s="29">
        <f>IF($C8="","",IFERROR(INDEX(Prod_Fornecedor,MATCH($C8,Prod_Nome,0)),""))</f>
        <v/>
      </c>
      <c r="AL8" s="34">
        <f>IF($A8="","",DATE(YEAR($A8),MONTH($A8),1))</f>
        <v/>
      </c>
    </row>
    <row r="9">
      <c r="A9" s="28" t="n">
        <v>46209</v>
      </c>
      <c r="B9" s="12" t="inlineStr">
        <is>
          <t>Joao</t>
        </is>
      </c>
      <c r="C9" s="12" t="inlineStr">
        <is>
          <t>Peito de Peru</t>
        </is>
      </c>
      <c r="D9" s="29">
        <f>IF($C9="","",IFERROR(INDEX(Prod_Marca,MATCH($C9,Prod_Nome,0)),""))</f>
        <v/>
      </c>
      <c r="E9" s="11" t="n">
        <v>5</v>
      </c>
      <c r="F9" s="13" t="n">
        <v>2.55</v>
      </c>
      <c r="G9" s="14" t="n">
        <v>38</v>
      </c>
      <c r="H9" s="30">
        <f>IF($C9="","",$F9*$G9)</f>
        <v/>
      </c>
      <c r="I9" s="13" t="n">
        <v>2.25</v>
      </c>
      <c r="J9" s="13" t="n">
        <v>0.09</v>
      </c>
      <c r="K9" s="13" t="n">
        <v>0.05</v>
      </c>
      <c r="L9" s="13" t="n">
        <v>0.04</v>
      </c>
      <c r="M9" s="13" t="n">
        <v>0.12</v>
      </c>
      <c r="N9" s="12" t="inlineStr">
        <is>
          <t>Ponta da peca</t>
        </is>
      </c>
      <c r="O9" s="30">
        <f>IF($C9="","",IFERROR(INDEX(Prod_PrecoVenda,MATCH($C9,Prod_Nome,0)),0))</f>
        <v/>
      </c>
      <c r="P9" s="12" t="inlineStr"/>
      <c r="Q9" s="31">
        <f>IF($C9="","",$J9+$K9+$L9)</f>
        <v/>
      </c>
      <c r="R9" s="32">
        <f>IF($C9="","",IFERROR((Q9)/$F9,0))</f>
        <v/>
      </c>
      <c r="S9" s="30">
        <f>IF($C9="","",(Q9)*$G9)</f>
        <v/>
      </c>
      <c r="T9" s="30">
        <f>IF($C9="","",(Q9)*$G9)</f>
        <v/>
      </c>
      <c r="U9" s="30">
        <f>IF($C9="","",vEmbalagem*IF(bEmbalagem="Por kg",$I9,1))</f>
        <v/>
      </c>
      <c r="V9" s="30">
        <f>IF($C9="","",vEtiqueta*IF(bEtiqueta="Por kg",$I9,1))</f>
        <v/>
      </c>
      <c r="W9" s="30">
        <f>IF($C9="","",vMaoObra*IF(bMaoObra="Por kg",$I9,1))</f>
        <v/>
      </c>
      <c r="X9" s="30">
        <f>IF($C9="","",vEnergia*IF(bEnergia="Por kg",$I9,1))</f>
        <v/>
      </c>
      <c r="Y9" s="30">
        <f>IF($C9="","",vFilme*IF(bFilme="Por kg",$I9,1)+vDesgaste*IF(bDesgaste="Por kg",$I9,1)+vLimpeza*IF(bLimpeza="Por kg",$I9,1))</f>
        <v/>
      </c>
      <c r="Z9" s="30">
        <f>IF($C9="","",U9+V9+W9+X9+Y9)</f>
        <v/>
      </c>
      <c r="AA9" s="30">
        <f>IF($C9="","",H9+Z9)</f>
        <v/>
      </c>
      <c r="AB9" s="30">
        <f>IF($C9="","",IFERROR(AA9/$I9,0))</f>
        <v/>
      </c>
      <c r="AC9" s="30">
        <f>IF($C9="","",$I9*O9)</f>
        <v/>
      </c>
      <c r="AD9" s="30">
        <f>IF($C9="","",AC9-H9)</f>
        <v/>
      </c>
      <c r="AE9" s="30">
        <f>IF($C9="","",AC9-AA9)</f>
        <v/>
      </c>
      <c r="AF9" s="32">
        <f>IF($C9="","",IFERROR(AE9/AC9,0))</f>
        <v/>
      </c>
      <c r="AG9" s="33">
        <f>IF($C9="","",IFERROR(O9/AB9,0))</f>
        <v/>
      </c>
      <c r="AH9" s="30">
        <f>IF($C9="","",AB9)</f>
        <v/>
      </c>
      <c r="AI9" s="30">
        <f>IF($C9="","",IFERROR(AB9/(1-IFERROR(INDEX(Prod_Margem,MATCH($C9,Prod_Nome,0)),0)),0))</f>
        <v/>
      </c>
      <c r="AJ9" s="29">
        <f>IF($C9="","",IFERROR(INDEX(Prod_Categoria,MATCH($C9,Prod_Nome,0)),""))</f>
        <v/>
      </c>
      <c r="AK9" s="29">
        <f>IF($C9="","",IFERROR(INDEX(Prod_Fornecedor,MATCH($C9,Prod_Nome,0)),""))</f>
        <v/>
      </c>
      <c r="AL9" s="34">
        <f>IF($A9="","",DATE(YEAR($A9),MONTH($A9),1))</f>
        <v/>
      </c>
    </row>
    <row r="10">
      <c r="A10" s="35" t="n">
        <v>46211</v>
      </c>
      <c r="B10" s="17" t="inlineStr">
        <is>
          <t>Pedro</t>
        </is>
      </c>
      <c r="C10" s="17" t="inlineStr">
        <is>
          <t>Salame Italiano</t>
        </is>
      </c>
      <c r="D10" s="29">
        <f>IF($C10="","",IFERROR(INDEX(Prod_Marca,MATCH($C10,Prod_Nome,0)),""))</f>
        <v/>
      </c>
      <c r="E10" s="16" t="n">
        <v>6</v>
      </c>
      <c r="F10" s="18" t="n">
        <v>1.25</v>
      </c>
      <c r="G10" s="19" t="n">
        <v>42</v>
      </c>
      <c r="H10" s="30">
        <f>IF($C10="","",$F10*$G10)</f>
        <v/>
      </c>
      <c r="I10" s="18" t="n">
        <v>1</v>
      </c>
      <c r="J10" s="18" t="n">
        <v>0.1</v>
      </c>
      <c r="K10" s="18" t="n">
        <v>0.03</v>
      </c>
      <c r="L10" s="18" t="n">
        <v>0.04</v>
      </c>
      <c r="M10" s="18" t="n">
        <v>0.08</v>
      </c>
      <c r="N10" s="17" t="inlineStr">
        <is>
          <t>Validade proxima</t>
        </is>
      </c>
      <c r="O10" s="30">
        <f>IF($C10="","",IFERROR(INDEX(Prod_PrecoVenda,MATCH($C10,Prod_Nome,0)),0))</f>
        <v/>
      </c>
      <c r="P10" s="17" t="inlineStr">
        <is>
          <t>Girou devagar</t>
        </is>
      </c>
      <c r="Q10" s="31">
        <f>IF($C10="","",$J10+$K10+$L10)</f>
        <v/>
      </c>
      <c r="R10" s="32">
        <f>IF($C10="","",IFERROR((Q10)/$F10,0))</f>
        <v/>
      </c>
      <c r="S10" s="30">
        <f>IF($C10="","",(Q10)*$G10)</f>
        <v/>
      </c>
      <c r="T10" s="30">
        <f>IF($C10="","",(Q10)*$G10)</f>
        <v/>
      </c>
      <c r="U10" s="30">
        <f>IF($C10="","",vEmbalagem*IF(bEmbalagem="Por kg",$I10,1))</f>
        <v/>
      </c>
      <c r="V10" s="30">
        <f>IF($C10="","",vEtiqueta*IF(bEtiqueta="Por kg",$I10,1))</f>
        <v/>
      </c>
      <c r="W10" s="30">
        <f>IF($C10="","",vMaoObra*IF(bMaoObra="Por kg",$I10,1))</f>
        <v/>
      </c>
      <c r="X10" s="30">
        <f>IF($C10="","",vEnergia*IF(bEnergia="Por kg",$I10,1))</f>
        <v/>
      </c>
      <c r="Y10" s="30">
        <f>IF($C10="","",vFilme*IF(bFilme="Por kg",$I10,1)+vDesgaste*IF(bDesgaste="Por kg",$I10,1)+vLimpeza*IF(bLimpeza="Por kg",$I10,1))</f>
        <v/>
      </c>
      <c r="Z10" s="30">
        <f>IF($C10="","",U10+V10+W10+X10+Y10)</f>
        <v/>
      </c>
      <c r="AA10" s="30">
        <f>IF($C10="","",H10+Z10)</f>
        <v/>
      </c>
      <c r="AB10" s="30">
        <f>IF($C10="","",IFERROR(AA10/$I10,0))</f>
        <v/>
      </c>
      <c r="AC10" s="30">
        <f>IF($C10="","",$I10*O10)</f>
        <v/>
      </c>
      <c r="AD10" s="30">
        <f>IF($C10="","",AC10-H10)</f>
        <v/>
      </c>
      <c r="AE10" s="30">
        <f>IF($C10="","",AC10-AA10)</f>
        <v/>
      </c>
      <c r="AF10" s="32">
        <f>IF($C10="","",IFERROR(AE10/AC10,0))</f>
        <v/>
      </c>
      <c r="AG10" s="33">
        <f>IF($C10="","",IFERROR(O10/AB10,0))</f>
        <v/>
      </c>
      <c r="AH10" s="30">
        <f>IF($C10="","",AB10)</f>
        <v/>
      </c>
      <c r="AI10" s="30">
        <f>IF($C10="","",IFERROR(AB10/(1-IFERROR(INDEX(Prod_Margem,MATCH($C10,Prod_Nome,0)),0)),0))</f>
        <v/>
      </c>
      <c r="AJ10" s="29">
        <f>IF($C10="","",IFERROR(INDEX(Prod_Categoria,MATCH($C10,Prod_Nome,0)),""))</f>
        <v/>
      </c>
      <c r="AK10" s="29">
        <f>IF($C10="","",IFERROR(INDEX(Prod_Fornecedor,MATCH($C10,Prod_Nome,0)),""))</f>
        <v/>
      </c>
      <c r="AL10" s="34">
        <f>IF($A10="","",DATE(YEAR($A10),MONTH($A10),1))</f>
        <v/>
      </c>
    </row>
    <row r="11">
      <c r="A11" s="28" t="n">
        <v>46213</v>
      </c>
      <c r="B11" s="12" t="inlineStr">
        <is>
          <t>Maria</t>
        </is>
      </c>
      <c r="C11" s="12" t="inlineStr">
        <is>
          <t>Bacon</t>
        </is>
      </c>
      <c r="D11" s="29">
        <f>IF($C11="","",IFERROR(INDEX(Prod_Marca,MATCH($C11,Prod_Nome,0)),""))</f>
        <v/>
      </c>
      <c r="E11" s="11" t="n">
        <v>7</v>
      </c>
      <c r="F11" s="13" t="n">
        <v>2.05</v>
      </c>
      <c r="G11" s="14" t="n">
        <v>28</v>
      </c>
      <c r="H11" s="30">
        <f>IF($C11="","",$F11*$G11)</f>
        <v/>
      </c>
      <c r="I11" s="13" t="n">
        <v>1.75</v>
      </c>
      <c r="J11" s="13" t="n">
        <v>0.12</v>
      </c>
      <c r="K11" s="13" t="n">
        <v>0.03</v>
      </c>
      <c r="L11" s="13" t="n">
        <v>0.05</v>
      </c>
      <c r="M11" s="13" t="n">
        <v>0.1</v>
      </c>
      <c r="N11" s="12" t="inlineStr">
        <is>
          <t>Aparas/Casca</t>
        </is>
      </c>
      <c r="O11" s="30">
        <f>IF($C11="","",IFERROR(INDEX(Prod_PrecoVenda,MATCH($C11,Prod_Nome,0)),0))</f>
        <v/>
      </c>
      <c r="P11" s="12" t="inlineStr"/>
      <c r="Q11" s="31">
        <f>IF($C11="","",$J11+$K11+$L11)</f>
        <v/>
      </c>
      <c r="R11" s="32">
        <f>IF($C11="","",IFERROR((Q11)/$F11,0))</f>
        <v/>
      </c>
      <c r="S11" s="30">
        <f>IF($C11="","",(Q11)*$G11)</f>
        <v/>
      </c>
      <c r="T11" s="30">
        <f>IF($C11="","",(Q11)*$G11)</f>
        <v/>
      </c>
      <c r="U11" s="30">
        <f>IF($C11="","",vEmbalagem*IF(bEmbalagem="Por kg",$I11,1))</f>
        <v/>
      </c>
      <c r="V11" s="30">
        <f>IF($C11="","",vEtiqueta*IF(bEtiqueta="Por kg",$I11,1))</f>
        <v/>
      </c>
      <c r="W11" s="30">
        <f>IF($C11="","",vMaoObra*IF(bMaoObra="Por kg",$I11,1))</f>
        <v/>
      </c>
      <c r="X11" s="30">
        <f>IF($C11="","",vEnergia*IF(bEnergia="Por kg",$I11,1))</f>
        <v/>
      </c>
      <c r="Y11" s="30">
        <f>IF($C11="","",vFilme*IF(bFilme="Por kg",$I11,1)+vDesgaste*IF(bDesgaste="Por kg",$I11,1)+vLimpeza*IF(bLimpeza="Por kg",$I11,1))</f>
        <v/>
      </c>
      <c r="Z11" s="30">
        <f>IF($C11="","",U11+V11+W11+X11+Y11)</f>
        <v/>
      </c>
      <c r="AA11" s="30">
        <f>IF($C11="","",H11+Z11)</f>
        <v/>
      </c>
      <c r="AB11" s="30">
        <f>IF($C11="","",IFERROR(AA11/$I11,0))</f>
        <v/>
      </c>
      <c r="AC11" s="30">
        <f>IF($C11="","",$I11*O11)</f>
        <v/>
      </c>
      <c r="AD11" s="30">
        <f>IF($C11="","",AC11-H11)</f>
        <v/>
      </c>
      <c r="AE11" s="30">
        <f>IF($C11="","",AC11-AA11)</f>
        <v/>
      </c>
      <c r="AF11" s="32">
        <f>IF($C11="","",IFERROR(AE11/AC11,0))</f>
        <v/>
      </c>
      <c r="AG11" s="33">
        <f>IF($C11="","",IFERROR(O11/AB11,0))</f>
        <v/>
      </c>
      <c r="AH11" s="30">
        <f>IF($C11="","",AB11)</f>
        <v/>
      </c>
      <c r="AI11" s="30">
        <f>IF($C11="","",IFERROR(AB11/(1-IFERROR(INDEX(Prod_Margem,MATCH($C11,Prod_Nome,0)),0)),0))</f>
        <v/>
      </c>
      <c r="AJ11" s="29">
        <f>IF($C11="","",IFERROR(INDEX(Prod_Categoria,MATCH($C11,Prod_Nome,0)),""))</f>
        <v/>
      </c>
      <c r="AK11" s="29">
        <f>IF($C11="","",IFERROR(INDEX(Prod_Fornecedor,MATCH($C11,Prod_Nome,0)),""))</f>
        <v/>
      </c>
      <c r="AL11" s="34">
        <f>IF($A11="","",DATE(YEAR($A11),MONTH($A11),1))</f>
        <v/>
      </c>
    </row>
    <row r="12">
      <c r="A12" s="35" t="n">
        <v>46215</v>
      </c>
      <c r="B12" s="17" t="inlineStr">
        <is>
          <t>Carlos</t>
        </is>
      </c>
      <c r="C12" s="17" t="inlineStr">
        <is>
          <t>Queijo Provolone</t>
        </is>
      </c>
      <c r="D12" s="29">
        <f>IF($C12="","",IFERROR(INDEX(Prod_Marca,MATCH($C12,Prod_Nome,0)),""))</f>
        <v/>
      </c>
      <c r="E12" s="16" t="n">
        <v>8</v>
      </c>
      <c r="F12" s="18" t="n">
        <v>2.25</v>
      </c>
      <c r="G12" s="19" t="n">
        <v>46</v>
      </c>
      <c r="H12" s="30">
        <f>IF($C12="","",$F12*$G12)</f>
        <v/>
      </c>
      <c r="I12" s="18" t="n">
        <v>1.98</v>
      </c>
      <c r="J12" s="18" t="n">
        <v>0.11</v>
      </c>
      <c r="K12" s="18" t="n">
        <v>0.04</v>
      </c>
      <c r="L12" s="18" t="n">
        <v>0.04</v>
      </c>
      <c r="M12" s="18" t="n">
        <v>0.08</v>
      </c>
      <c r="N12" s="17" t="inlineStr">
        <is>
          <t>Ponta da peca</t>
        </is>
      </c>
      <c r="O12" s="30">
        <f>IF($C12="","",IFERROR(INDEX(Prod_PrecoVenda,MATCH($C12,Prod_Nome,0)),0))</f>
        <v/>
      </c>
      <c r="P12" s="17" t="inlineStr"/>
      <c r="Q12" s="31">
        <f>IF($C12="","",$J12+$K12+$L12)</f>
        <v/>
      </c>
      <c r="R12" s="32">
        <f>IF($C12="","",IFERROR((Q12)/$F12,0))</f>
        <v/>
      </c>
      <c r="S12" s="30">
        <f>IF($C12="","",(Q12)*$G12)</f>
        <v/>
      </c>
      <c r="T12" s="30">
        <f>IF($C12="","",(Q12)*$G12)</f>
        <v/>
      </c>
      <c r="U12" s="30">
        <f>IF($C12="","",vEmbalagem*IF(bEmbalagem="Por kg",$I12,1))</f>
        <v/>
      </c>
      <c r="V12" s="30">
        <f>IF($C12="","",vEtiqueta*IF(bEtiqueta="Por kg",$I12,1))</f>
        <v/>
      </c>
      <c r="W12" s="30">
        <f>IF($C12="","",vMaoObra*IF(bMaoObra="Por kg",$I12,1))</f>
        <v/>
      </c>
      <c r="X12" s="30">
        <f>IF($C12="","",vEnergia*IF(bEnergia="Por kg",$I12,1))</f>
        <v/>
      </c>
      <c r="Y12" s="30">
        <f>IF($C12="","",vFilme*IF(bFilme="Por kg",$I12,1)+vDesgaste*IF(bDesgaste="Por kg",$I12,1)+vLimpeza*IF(bLimpeza="Por kg",$I12,1))</f>
        <v/>
      </c>
      <c r="Z12" s="30">
        <f>IF($C12="","",U12+V12+W12+X12+Y12)</f>
        <v/>
      </c>
      <c r="AA12" s="30">
        <f>IF($C12="","",H12+Z12)</f>
        <v/>
      </c>
      <c r="AB12" s="30">
        <f>IF($C12="","",IFERROR(AA12/$I12,0))</f>
        <v/>
      </c>
      <c r="AC12" s="30">
        <f>IF($C12="","",$I12*O12)</f>
        <v/>
      </c>
      <c r="AD12" s="30">
        <f>IF($C12="","",AC12-H12)</f>
        <v/>
      </c>
      <c r="AE12" s="30">
        <f>IF($C12="","",AC12-AA12)</f>
        <v/>
      </c>
      <c r="AF12" s="32">
        <f>IF($C12="","",IFERROR(AE12/AC12,0))</f>
        <v/>
      </c>
      <c r="AG12" s="33">
        <f>IF($C12="","",IFERROR(O12/AB12,0))</f>
        <v/>
      </c>
      <c r="AH12" s="30">
        <f>IF($C12="","",AB12)</f>
        <v/>
      </c>
      <c r="AI12" s="30">
        <f>IF($C12="","",IFERROR(AB12/(1-IFERROR(INDEX(Prod_Margem,MATCH($C12,Prod_Nome,0)),0)),0))</f>
        <v/>
      </c>
      <c r="AJ12" s="29">
        <f>IF($C12="","",IFERROR(INDEX(Prod_Categoria,MATCH($C12,Prod_Nome,0)),""))</f>
        <v/>
      </c>
      <c r="AK12" s="29">
        <f>IF($C12="","",IFERROR(INDEX(Prod_Fornecedor,MATCH($C12,Prod_Nome,0)),""))</f>
        <v/>
      </c>
      <c r="AL12" s="34">
        <f>IF($A12="","",DATE(YEAR($A12),MONTH($A12),1))</f>
        <v/>
      </c>
    </row>
    <row r="13">
      <c r="A13" s="28" t="n">
        <v>46217</v>
      </c>
      <c r="B13" s="12" t="inlineStr">
        <is>
          <t>Ana</t>
        </is>
      </c>
      <c r="C13" s="12" t="inlineStr">
        <is>
          <t>Mussarela</t>
        </is>
      </c>
      <c r="D13" s="29">
        <f>IF($C13="","",IFERROR(INDEX(Prod_Marca,MATCH($C13,Prod_Nome,0)),""))</f>
        <v/>
      </c>
      <c r="E13" s="11" t="n">
        <v>9</v>
      </c>
      <c r="F13" s="13" t="n">
        <v>4.05</v>
      </c>
      <c r="G13" s="14" t="n">
        <v>32</v>
      </c>
      <c r="H13" s="30">
        <f>IF($C13="","",$F13*$G13)</f>
        <v/>
      </c>
      <c r="I13" s="13" t="n">
        <v>3.55</v>
      </c>
      <c r="J13" s="13" t="n">
        <v>0.16</v>
      </c>
      <c r="K13" s="13" t="n">
        <v>0.05</v>
      </c>
      <c r="L13" s="13" t="n">
        <v>0.06</v>
      </c>
      <c r="M13" s="13" t="n">
        <v>0.23</v>
      </c>
      <c r="N13" s="12" t="inlineStr">
        <is>
          <t>Aparas/Casca</t>
        </is>
      </c>
      <c r="O13" s="30">
        <f>IF($C13="","",IFERROR(INDEX(Prod_PrecoVenda,MATCH($C13,Prod_Nome,0)),0))</f>
        <v/>
      </c>
      <c r="P13" s="12" t="inlineStr"/>
      <c r="Q13" s="31">
        <f>IF($C13="","",$J13+$K13+$L13)</f>
        <v/>
      </c>
      <c r="R13" s="32">
        <f>IF($C13="","",IFERROR((Q13)/$F13,0))</f>
        <v/>
      </c>
      <c r="S13" s="30">
        <f>IF($C13="","",(Q13)*$G13)</f>
        <v/>
      </c>
      <c r="T13" s="30">
        <f>IF($C13="","",(Q13)*$G13)</f>
        <v/>
      </c>
      <c r="U13" s="30">
        <f>IF($C13="","",vEmbalagem*IF(bEmbalagem="Por kg",$I13,1))</f>
        <v/>
      </c>
      <c r="V13" s="30">
        <f>IF($C13="","",vEtiqueta*IF(bEtiqueta="Por kg",$I13,1))</f>
        <v/>
      </c>
      <c r="W13" s="30">
        <f>IF($C13="","",vMaoObra*IF(bMaoObra="Por kg",$I13,1))</f>
        <v/>
      </c>
      <c r="X13" s="30">
        <f>IF($C13="","",vEnergia*IF(bEnergia="Por kg",$I13,1))</f>
        <v/>
      </c>
      <c r="Y13" s="30">
        <f>IF($C13="","",vFilme*IF(bFilme="Por kg",$I13,1)+vDesgaste*IF(bDesgaste="Por kg",$I13,1)+vLimpeza*IF(bLimpeza="Por kg",$I13,1))</f>
        <v/>
      </c>
      <c r="Z13" s="30">
        <f>IF($C13="","",U13+V13+W13+X13+Y13)</f>
        <v/>
      </c>
      <c r="AA13" s="30">
        <f>IF($C13="","",H13+Z13)</f>
        <v/>
      </c>
      <c r="AB13" s="30">
        <f>IF($C13="","",IFERROR(AA13/$I13,0))</f>
        <v/>
      </c>
      <c r="AC13" s="30">
        <f>IF($C13="","",$I13*O13)</f>
        <v/>
      </c>
      <c r="AD13" s="30">
        <f>IF($C13="","",AC13-H13)</f>
        <v/>
      </c>
      <c r="AE13" s="30">
        <f>IF($C13="","",AC13-AA13)</f>
        <v/>
      </c>
      <c r="AF13" s="32">
        <f>IF($C13="","",IFERROR(AE13/AC13,0))</f>
        <v/>
      </c>
      <c r="AG13" s="33">
        <f>IF($C13="","",IFERROR(O13/AB13,0))</f>
        <v/>
      </c>
      <c r="AH13" s="30">
        <f>IF($C13="","",AB13)</f>
        <v/>
      </c>
      <c r="AI13" s="30">
        <f>IF($C13="","",IFERROR(AB13/(1-IFERROR(INDEX(Prod_Margem,MATCH($C13,Prod_Nome,0)),0)),0))</f>
        <v/>
      </c>
      <c r="AJ13" s="29">
        <f>IF($C13="","",IFERROR(INDEX(Prod_Categoria,MATCH($C13,Prod_Nome,0)),""))</f>
        <v/>
      </c>
      <c r="AK13" s="29">
        <f>IF($C13="","",IFERROR(INDEX(Prod_Fornecedor,MATCH($C13,Prod_Nome,0)),""))</f>
        <v/>
      </c>
      <c r="AL13" s="34">
        <f>IF($A13="","",DATE(YEAR($A13),MONTH($A13),1))</f>
        <v/>
      </c>
    </row>
    <row r="14">
      <c r="A14" s="35" t="n">
        <v>46219</v>
      </c>
      <c r="B14" s="17" t="inlineStr">
        <is>
          <t>Joao</t>
        </is>
      </c>
      <c r="C14" s="17" t="inlineStr">
        <is>
          <t>Mortadela</t>
        </is>
      </c>
      <c r="D14" s="29">
        <f>IF($C14="","",IFERROR(INDEX(Prod_Marca,MATCH($C14,Prod_Nome,0)),""))</f>
        <v/>
      </c>
      <c r="E14" s="16" t="n">
        <v>10</v>
      </c>
      <c r="F14" s="18" t="n">
        <v>3.1</v>
      </c>
      <c r="G14" s="19" t="n">
        <v>14</v>
      </c>
      <c r="H14" s="30">
        <f>IF($C14="","",$F14*$G14)</f>
        <v/>
      </c>
      <c r="I14" s="18" t="n">
        <v>2.4</v>
      </c>
      <c r="J14" s="18" t="n">
        <v>0.28</v>
      </c>
      <c r="K14" s="18" t="n">
        <v>0.1</v>
      </c>
      <c r="L14" s="18" t="n">
        <v>0.08</v>
      </c>
      <c r="M14" s="18" t="n">
        <v>0.24</v>
      </c>
      <c r="N14" s="17" t="inlineStr">
        <is>
          <t>Produto danificado</t>
        </is>
      </c>
      <c r="O14" s="30">
        <f>IF($C14="","",IFERROR(INDEX(Prod_PrecoVenda,MATCH($C14,Prod_Nome,0)),0))</f>
        <v/>
      </c>
      <c r="P14" s="17" t="inlineStr">
        <is>
          <t>Perda alta - conferir</t>
        </is>
      </c>
      <c r="Q14" s="31">
        <f>IF($C14="","",$J14+$K14+$L14)</f>
        <v/>
      </c>
      <c r="R14" s="32">
        <f>IF($C14="","",IFERROR((Q14)/$F14,0))</f>
        <v/>
      </c>
      <c r="S14" s="30">
        <f>IF($C14="","",(Q14)*$G14)</f>
        <v/>
      </c>
      <c r="T14" s="30">
        <f>IF($C14="","",(Q14)*$G14)</f>
        <v/>
      </c>
      <c r="U14" s="30">
        <f>IF($C14="","",vEmbalagem*IF(bEmbalagem="Por kg",$I14,1))</f>
        <v/>
      </c>
      <c r="V14" s="30">
        <f>IF($C14="","",vEtiqueta*IF(bEtiqueta="Por kg",$I14,1))</f>
        <v/>
      </c>
      <c r="W14" s="30">
        <f>IF($C14="","",vMaoObra*IF(bMaoObra="Por kg",$I14,1))</f>
        <v/>
      </c>
      <c r="X14" s="30">
        <f>IF($C14="","",vEnergia*IF(bEnergia="Por kg",$I14,1))</f>
        <v/>
      </c>
      <c r="Y14" s="30">
        <f>IF($C14="","",vFilme*IF(bFilme="Por kg",$I14,1)+vDesgaste*IF(bDesgaste="Por kg",$I14,1)+vLimpeza*IF(bLimpeza="Por kg",$I14,1))</f>
        <v/>
      </c>
      <c r="Z14" s="30">
        <f>IF($C14="","",U14+V14+W14+X14+Y14)</f>
        <v/>
      </c>
      <c r="AA14" s="30">
        <f>IF($C14="","",H14+Z14)</f>
        <v/>
      </c>
      <c r="AB14" s="30">
        <f>IF($C14="","",IFERROR(AA14/$I14,0))</f>
        <v/>
      </c>
      <c r="AC14" s="30">
        <f>IF($C14="","",$I14*O14)</f>
        <v/>
      </c>
      <c r="AD14" s="30">
        <f>IF($C14="","",AC14-H14)</f>
        <v/>
      </c>
      <c r="AE14" s="30">
        <f>IF($C14="","",AC14-AA14)</f>
        <v/>
      </c>
      <c r="AF14" s="32">
        <f>IF($C14="","",IFERROR(AE14/AC14,0))</f>
        <v/>
      </c>
      <c r="AG14" s="33">
        <f>IF($C14="","",IFERROR(O14/AB14,0))</f>
        <v/>
      </c>
      <c r="AH14" s="30">
        <f>IF($C14="","",AB14)</f>
        <v/>
      </c>
      <c r="AI14" s="30">
        <f>IF($C14="","",IFERROR(AB14/(1-IFERROR(INDEX(Prod_Margem,MATCH($C14,Prod_Nome,0)),0)),0))</f>
        <v/>
      </c>
      <c r="AJ14" s="29">
        <f>IF($C14="","",IFERROR(INDEX(Prod_Categoria,MATCH($C14,Prod_Nome,0)),""))</f>
        <v/>
      </c>
      <c r="AK14" s="29">
        <f>IF($C14="","",IFERROR(INDEX(Prod_Fornecedor,MATCH($C14,Prod_Nome,0)),""))</f>
        <v/>
      </c>
      <c r="AL14" s="34">
        <f>IF($A14="","",DATE(YEAR($A14),MONTH($A14),1))</f>
        <v/>
      </c>
    </row>
    <row r="15">
      <c r="A15" s="28" t="n">
        <v>46221</v>
      </c>
      <c r="B15" s="12" t="inlineStr">
        <is>
          <t>Pedro</t>
        </is>
      </c>
      <c r="C15" s="12" t="inlineStr">
        <is>
          <t>Presunto Cozido</t>
        </is>
      </c>
      <c r="D15" s="29">
        <f>IF($C15="","",IFERROR(INDEX(Prod_Marca,MATCH($C15,Prod_Nome,0)),""))</f>
        <v/>
      </c>
      <c r="E15" s="11" t="n">
        <v>11</v>
      </c>
      <c r="F15" s="13" t="n">
        <v>3.55</v>
      </c>
      <c r="G15" s="14" t="n">
        <v>24</v>
      </c>
      <c r="H15" s="30">
        <f>IF($C15="","",$F15*$G15)</f>
        <v/>
      </c>
      <c r="I15" s="13" t="n">
        <v>3.15</v>
      </c>
      <c r="J15" s="13" t="n">
        <v>0.13</v>
      </c>
      <c r="K15" s="13" t="n">
        <v>0.05</v>
      </c>
      <c r="L15" s="13" t="n">
        <v>0.05</v>
      </c>
      <c r="M15" s="13" t="n">
        <v>0.17</v>
      </c>
      <c r="N15" s="12" t="inlineStr">
        <is>
          <t>Ponta da peca</t>
        </is>
      </c>
      <c r="O15" s="30">
        <f>IF($C15="","",IFERROR(INDEX(Prod_PrecoVenda,MATCH($C15,Prod_Nome,0)),0))</f>
        <v/>
      </c>
      <c r="P15" s="12" t="inlineStr"/>
      <c r="Q15" s="31">
        <f>IF($C15="","",$J15+$K15+$L15)</f>
        <v/>
      </c>
      <c r="R15" s="32">
        <f>IF($C15="","",IFERROR((Q15)/$F15,0))</f>
        <v/>
      </c>
      <c r="S15" s="30">
        <f>IF($C15="","",(Q15)*$G15)</f>
        <v/>
      </c>
      <c r="T15" s="30">
        <f>IF($C15="","",(Q15)*$G15)</f>
        <v/>
      </c>
      <c r="U15" s="30">
        <f>IF($C15="","",vEmbalagem*IF(bEmbalagem="Por kg",$I15,1))</f>
        <v/>
      </c>
      <c r="V15" s="30">
        <f>IF($C15="","",vEtiqueta*IF(bEtiqueta="Por kg",$I15,1))</f>
        <v/>
      </c>
      <c r="W15" s="30">
        <f>IF($C15="","",vMaoObra*IF(bMaoObra="Por kg",$I15,1))</f>
        <v/>
      </c>
      <c r="X15" s="30">
        <f>IF($C15="","",vEnergia*IF(bEnergia="Por kg",$I15,1))</f>
        <v/>
      </c>
      <c r="Y15" s="30">
        <f>IF($C15="","",vFilme*IF(bFilme="Por kg",$I15,1)+vDesgaste*IF(bDesgaste="Por kg",$I15,1)+vLimpeza*IF(bLimpeza="Por kg",$I15,1))</f>
        <v/>
      </c>
      <c r="Z15" s="30">
        <f>IF($C15="","",U15+V15+W15+X15+Y15)</f>
        <v/>
      </c>
      <c r="AA15" s="30">
        <f>IF($C15="","",H15+Z15)</f>
        <v/>
      </c>
      <c r="AB15" s="30">
        <f>IF($C15="","",IFERROR(AA15/$I15,0))</f>
        <v/>
      </c>
      <c r="AC15" s="30">
        <f>IF($C15="","",$I15*O15)</f>
        <v/>
      </c>
      <c r="AD15" s="30">
        <f>IF($C15="","",AC15-H15)</f>
        <v/>
      </c>
      <c r="AE15" s="30">
        <f>IF($C15="","",AC15-AA15)</f>
        <v/>
      </c>
      <c r="AF15" s="32">
        <f>IF($C15="","",IFERROR(AE15/AC15,0))</f>
        <v/>
      </c>
      <c r="AG15" s="33">
        <f>IF($C15="","",IFERROR(O15/AB15,0))</f>
        <v/>
      </c>
      <c r="AH15" s="30">
        <f>IF($C15="","",AB15)</f>
        <v/>
      </c>
      <c r="AI15" s="30">
        <f>IF($C15="","",IFERROR(AB15/(1-IFERROR(INDEX(Prod_Margem,MATCH($C15,Prod_Nome,0)),0)),0))</f>
        <v/>
      </c>
      <c r="AJ15" s="29">
        <f>IF($C15="","",IFERROR(INDEX(Prod_Categoria,MATCH($C15,Prod_Nome,0)),""))</f>
        <v/>
      </c>
      <c r="AK15" s="29">
        <f>IF($C15="","",IFERROR(INDEX(Prod_Fornecedor,MATCH($C15,Prod_Nome,0)),""))</f>
        <v/>
      </c>
      <c r="AL15" s="34">
        <f>IF($A15="","",DATE(YEAR($A15),MONTH($A15),1))</f>
        <v/>
      </c>
    </row>
    <row r="16">
      <c r="A16" s="35" t="n">
        <v>46223</v>
      </c>
      <c r="B16" s="17" t="inlineStr">
        <is>
          <t>Maria</t>
        </is>
      </c>
      <c r="C16" s="17" t="inlineStr">
        <is>
          <t>Peito de Peru</t>
        </is>
      </c>
      <c r="D16" s="29">
        <f>IF($C16="","",IFERROR(INDEX(Prod_Marca,MATCH($C16,Prod_Nome,0)),""))</f>
        <v/>
      </c>
      <c r="E16" s="16" t="n">
        <v>12</v>
      </c>
      <c r="F16" s="18" t="n">
        <v>2.5</v>
      </c>
      <c r="G16" s="19" t="n">
        <v>38</v>
      </c>
      <c r="H16" s="30">
        <f>IF($C16="","",$F16*$G16)</f>
        <v/>
      </c>
      <c r="I16" s="18" t="n">
        <v>2.28</v>
      </c>
      <c r="J16" s="18" t="n">
        <v>0.08</v>
      </c>
      <c r="K16" s="18" t="n">
        <v>0.04</v>
      </c>
      <c r="L16" s="18" t="n">
        <v>0.03</v>
      </c>
      <c r="M16" s="18" t="n">
        <v>0.07000000000000001</v>
      </c>
      <c r="N16" s="17" t="inlineStr">
        <is>
          <t>Amostra ao cliente</t>
        </is>
      </c>
      <c r="O16" s="30">
        <f>IF($C16="","",IFERROR(INDEX(Prod_PrecoVenda,MATCH($C16,Prod_Nome,0)),0))</f>
        <v/>
      </c>
      <c r="P16" s="17" t="inlineStr"/>
      <c r="Q16" s="31">
        <f>IF($C16="","",$J16+$K16+$L16)</f>
        <v/>
      </c>
      <c r="R16" s="32">
        <f>IF($C16="","",IFERROR((Q16)/$F16,0))</f>
        <v/>
      </c>
      <c r="S16" s="30">
        <f>IF($C16="","",(Q16)*$G16)</f>
        <v/>
      </c>
      <c r="T16" s="30">
        <f>IF($C16="","",(Q16)*$G16)</f>
        <v/>
      </c>
      <c r="U16" s="30">
        <f>IF($C16="","",vEmbalagem*IF(bEmbalagem="Por kg",$I16,1))</f>
        <v/>
      </c>
      <c r="V16" s="30">
        <f>IF($C16="","",vEtiqueta*IF(bEtiqueta="Por kg",$I16,1))</f>
        <v/>
      </c>
      <c r="W16" s="30">
        <f>IF($C16="","",vMaoObra*IF(bMaoObra="Por kg",$I16,1))</f>
        <v/>
      </c>
      <c r="X16" s="30">
        <f>IF($C16="","",vEnergia*IF(bEnergia="Por kg",$I16,1))</f>
        <v/>
      </c>
      <c r="Y16" s="30">
        <f>IF($C16="","",vFilme*IF(bFilme="Por kg",$I16,1)+vDesgaste*IF(bDesgaste="Por kg",$I16,1)+vLimpeza*IF(bLimpeza="Por kg",$I16,1))</f>
        <v/>
      </c>
      <c r="Z16" s="30">
        <f>IF($C16="","",U16+V16+W16+X16+Y16)</f>
        <v/>
      </c>
      <c r="AA16" s="30">
        <f>IF($C16="","",H16+Z16)</f>
        <v/>
      </c>
      <c r="AB16" s="30">
        <f>IF($C16="","",IFERROR(AA16/$I16,0))</f>
        <v/>
      </c>
      <c r="AC16" s="30">
        <f>IF($C16="","",$I16*O16)</f>
        <v/>
      </c>
      <c r="AD16" s="30">
        <f>IF($C16="","",AC16-H16)</f>
        <v/>
      </c>
      <c r="AE16" s="30">
        <f>IF($C16="","",AC16-AA16)</f>
        <v/>
      </c>
      <c r="AF16" s="32">
        <f>IF($C16="","",IFERROR(AE16/AC16,0))</f>
        <v/>
      </c>
      <c r="AG16" s="33">
        <f>IF($C16="","",IFERROR(O16/AB16,0))</f>
        <v/>
      </c>
      <c r="AH16" s="30">
        <f>IF($C16="","",AB16)</f>
        <v/>
      </c>
      <c r="AI16" s="30">
        <f>IF($C16="","",IFERROR(AB16/(1-IFERROR(INDEX(Prod_Margem,MATCH($C16,Prod_Nome,0)),0)),0))</f>
        <v/>
      </c>
      <c r="AJ16" s="29">
        <f>IF($C16="","",IFERROR(INDEX(Prod_Categoria,MATCH($C16,Prod_Nome,0)),""))</f>
        <v/>
      </c>
      <c r="AK16" s="29">
        <f>IF($C16="","",IFERROR(INDEX(Prod_Fornecedor,MATCH($C16,Prod_Nome,0)),""))</f>
        <v/>
      </c>
      <c r="AL16" s="34">
        <f>IF($A16="","",DATE(YEAR($A16),MONTH($A16),1))</f>
        <v/>
      </c>
    </row>
    <row r="17">
      <c r="A17" s="28" t="n">
        <v>46224</v>
      </c>
      <c r="B17" s="12" t="inlineStr">
        <is>
          <t>Rafael</t>
        </is>
      </c>
      <c r="C17" s="12" t="inlineStr">
        <is>
          <t>Bacon</t>
        </is>
      </c>
      <c r="D17" s="29">
        <f>IF($C17="","",IFERROR(INDEX(Prod_Marca,MATCH($C17,Prod_Nome,0)),""))</f>
        <v/>
      </c>
      <c r="E17" s="11" t="n">
        <v>13</v>
      </c>
      <c r="F17" s="13" t="n">
        <v>2</v>
      </c>
      <c r="G17" s="14" t="n">
        <v>28</v>
      </c>
      <c r="H17" s="30">
        <f>IF($C17="","",$F17*$G17)</f>
        <v/>
      </c>
      <c r="I17" s="13" t="n">
        <v>1.6</v>
      </c>
      <c r="J17" s="13" t="n">
        <v>0.18</v>
      </c>
      <c r="K17" s="13" t="n">
        <v>0.04</v>
      </c>
      <c r="L17" s="13" t="n">
        <v>0.06</v>
      </c>
      <c r="M17" s="13" t="n">
        <v>0.12</v>
      </c>
      <c r="N17" s="12" t="inlineStr">
        <is>
          <t>Produto danificado</t>
        </is>
      </c>
      <c r="O17" s="30">
        <f>IF($C17="","",IFERROR(INDEX(Prod_PrecoVenda,MATCH($C17,Prod_Nome,0)),0))</f>
        <v/>
      </c>
      <c r="P17" s="12" t="inlineStr">
        <is>
          <t>Ressecou</t>
        </is>
      </c>
      <c r="Q17" s="31">
        <f>IF($C17="","",$J17+$K17+$L17)</f>
        <v/>
      </c>
      <c r="R17" s="32">
        <f>IF($C17="","",IFERROR((Q17)/$F17,0))</f>
        <v/>
      </c>
      <c r="S17" s="30">
        <f>IF($C17="","",(Q17)*$G17)</f>
        <v/>
      </c>
      <c r="T17" s="30">
        <f>IF($C17="","",(Q17)*$G17)</f>
        <v/>
      </c>
      <c r="U17" s="30">
        <f>IF($C17="","",vEmbalagem*IF(bEmbalagem="Por kg",$I17,1))</f>
        <v/>
      </c>
      <c r="V17" s="30">
        <f>IF($C17="","",vEtiqueta*IF(bEtiqueta="Por kg",$I17,1))</f>
        <v/>
      </c>
      <c r="W17" s="30">
        <f>IF($C17="","",vMaoObra*IF(bMaoObra="Por kg",$I17,1))</f>
        <v/>
      </c>
      <c r="X17" s="30">
        <f>IF($C17="","",vEnergia*IF(bEnergia="Por kg",$I17,1))</f>
        <v/>
      </c>
      <c r="Y17" s="30">
        <f>IF($C17="","",vFilme*IF(bFilme="Por kg",$I17,1)+vDesgaste*IF(bDesgaste="Por kg",$I17,1)+vLimpeza*IF(bLimpeza="Por kg",$I17,1))</f>
        <v/>
      </c>
      <c r="Z17" s="30">
        <f>IF($C17="","",U17+V17+W17+X17+Y17)</f>
        <v/>
      </c>
      <c r="AA17" s="30">
        <f>IF($C17="","",H17+Z17)</f>
        <v/>
      </c>
      <c r="AB17" s="30">
        <f>IF($C17="","",IFERROR(AA17/$I17,0))</f>
        <v/>
      </c>
      <c r="AC17" s="30">
        <f>IF($C17="","",$I17*O17)</f>
        <v/>
      </c>
      <c r="AD17" s="30">
        <f>IF($C17="","",AC17-H17)</f>
        <v/>
      </c>
      <c r="AE17" s="30">
        <f>IF($C17="","",AC17-AA17)</f>
        <v/>
      </c>
      <c r="AF17" s="32">
        <f>IF($C17="","",IFERROR(AE17/AC17,0))</f>
        <v/>
      </c>
      <c r="AG17" s="33">
        <f>IF($C17="","",IFERROR(O17/AB17,0))</f>
        <v/>
      </c>
      <c r="AH17" s="30">
        <f>IF($C17="","",AB17)</f>
        <v/>
      </c>
      <c r="AI17" s="30">
        <f>IF($C17="","",IFERROR(AB17/(1-IFERROR(INDEX(Prod_Margem,MATCH($C17,Prod_Nome,0)),0)),0))</f>
        <v/>
      </c>
      <c r="AJ17" s="29">
        <f>IF($C17="","",IFERROR(INDEX(Prod_Categoria,MATCH($C17,Prod_Nome,0)),""))</f>
        <v/>
      </c>
      <c r="AK17" s="29">
        <f>IF($C17="","",IFERROR(INDEX(Prod_Fornecedor,MATCH($C17,Prod_Nome,0)),""))</f>
        <v/>
      </c>
      <c r="AL17" s="34">
        <f>IF($A17="","",DATE(YEAR($A17),MONTH($A17),1))</f>
        <v/>
      </c>
    </row>
    <row r="18">
      <c r="A18" s="35" t="n">
        <v>46225</v>
      </c>
      <c r="B18" s="17" t="inlineStr">
        <is>
          <t>Ana</t>
        </is>
      </c>
      <c r="C18" s="17" t="inlineStr">
        <is>
          <t>Queijo Prato</t>
        </is>
      </c>
      <c r="D18" s="29">
        <f>IF($C18="","",IFERROR(INDEX(Prod_Marca,MATCH($C18,Prod_Nome,0)),""))</f>
        <v/>
      </c>
      <c r="E18" s="16" t="n">
        <v>14</v>
      </c>
      <c r="F18" s="18" t="n">
        <v>3.75</v>
      </c>
      <c r="G18" s="19" t="n">
        <v>34</v>
      </c>
      <c r="H18" s="30">
        <f>IF($C18="","",$F18*$G18)</f>
        <v/>
      </c>
      <c r="I18" s="18" t="n">
        <v>3.4</v>
      </c>
      <c r="J18" s="18" t="n">
        <v>0.1</v>
      </c>
      <c r="K18" s="18" t="n">
        <v>0.05</v>
      </c>
      <c r="L18" s="18" t="n">
        <v>0.05</v>
      </c>
      <c r="M18" s="18" t="n">
        <v>0.15</v>
      </c>
      <c r="N18" s="17" t="inlineStr">
        <is>
          <t>Aparas/Casca</t>
        </is>
      </c>
      <c r="O18" s="30">
        <f>IF($C18="","",IFERROR(INDEX(Prod_PrecoVenda,MATCH($C18,Prod_Nome,0)),0))</f>
        <v/>
      </c>
      <c r="P18" s="17" t="inlineStr"/>
      <c r="Q18" s="31">
        <f>IF($C18="","",$J18+$K18+$L18)</f>
        <v/>
      </c>
      <c r="R18" s="32">
        <f>IF($C18="","",IFERROR((Q18)/$F18,0))</f>
        <v/>
      </c>
      <c r="S18" s="30">
        <f>IF($C18="","",(Q18)*$G18)</f>
        <v/>
      </c>
      <c r="T18" s="30">
        <f>IF($C18="","",(Q18)*$G18)</f>
        <v/>
      </c>
      <c r="U18" s="30">
        <f>IF($C18="","",vEmbalagem*IF(bEmbalagem="Por kg",$I18,1))</f>
        <v/>
      </c>
      <c r="V18" s="30">
        <f>IF($C18="","",vEtiqueta*IF(bEtiqueta="Por kg",$I18,1))</f>
        <v/>
      </c>
      <c r="W18" s="30">
        <f>IF($C18="","",vMaoObra*IF(bMaoObra="Por kg",$I18,1))</f>
        <v/>
      </c>
      <c r="X18" s="30">
        <f>IF($C18="","",vEnergia*IF(bEnergia="Por kg",$I18,1))</f>
        <v/>
      </c>
      <c r="Y18" s="30">
        <f>IF($C18="","",vFilme*IF(bFilme="Por kg",$I18,1)+vDesgaste*IF(bDesgaste="Por kg",$I18,1)+vLimpeza*IF(bLimpeza="Por kg",$I18,1))</f>
        <v/>
      </c>
      <c r="Z18" s="30">
        <f>IF($C18="","",U18+V18+W18+X18+Y18)</f>
        <v/>
      </c>
      <c r="AA18" s="30">
        <f>IF($C18="","",H18+Z18)</f>
        <v/>
      </c>
      <c r="AB18" s="30">
        <f>IF($C18="","",IFERROR(AA18/$I18,0))</f>
        <v/>
      </c>
      <c r="AC18" s="30">
        <f>IF($C18="","",$I18*O18)</f>
        <v/>
      </c>
      <c r="AD18" s="30">
        <f>IF($C18="","",AC18-H18)</f>
        <v/>
      </c>
      <c r="AE18" s="30">
        <f>IF($C18="","",AC18-AA18)</f>
        <v/>
      </c>
      <c r="AF18" s="32">
        <f>IF($C18="","",IFERROR(AE18/AC18,0))</f>
        <v/>
      </c>
      <c r="AG18" s="33">
        <f>IF($C18="","",IFERROR(O18/AB18,0))</f>
        <v/>
      </c>
      <c r="AH18" s="30">
        <f>IF($C18="","",AB18)</f>
        <v/>
      </c>
      <c r="AI18" s="30">
        <f>IF($C18="","",IFERROR(AB18/(1-IFERROR(INDEX(Prod_Margem,MATCH($C18,Prod_Nome,0)),0)),0))</f>
        <v/>
      </c>
      <c r="AJ18" s="29">
        <f>IF($C18="","",IFERROR(INDEX(Prod_Categoria,MATCH($C18,Prod_Nome,0)),""))</f>
        <v/>
      </c>
      <c r="AK18" s="29">
        <f>IF($C18="","",IFERROR(INDEX(Prod_Fornecedor,MATCH($C18,Prod_Nome,0)),""))</f>
        <v/>
      </c>
      <c r="AL18" s="34">
        <f>IF($A18="","",DATE(YEAR($A18),MONTH($A18),1))</f>
        <v/>
      </c>
    </row>
    <row r="19">
      <c r="A19" s="28" t="n"/>
      <c r="B19" s="12" t="n"/>
      <c r="C19" s="12" t="n"/>
      <c r="D19" s="29">
        <f>IF($C19="","",IFERROR(INDEX(Prod_Marca,MATCH($C19,Prod_Nome,0)),""))</f>
        <v/>
      </c>
      <c r="E19" s="11" t="n"/>
      <c r="F19" s="13" t="n"/>
      <c r="G19" s="14" t="n"/>
      <c r="H19" s="30">
        <f>IF($C19="","",$F19*$G19)</f>
        <v/>
      </c>
      <c r="I19" s="13" t="n"/>
      <c r="J19" s="13" t="n"/>
      <c r="K19" s="13" t="n"/>
      <c r="L19" s="13" t="n"/>
      <c r="M19" s="13" t="n"/>
      <c r="N19" s="12" t="n"/>
      <c r="O19" s="30">
        <f>IF($C19="","",IFERROR(INDEX(Prod_PrecoVenda,MATCH($C19,Prod_Nome,0)),0))</f>
        <v/>
      </c>
      <c r="P19" s="12" t="n"/>
      <c r="Q19" s="31">
        <f>IF($C19="","",$J19+$K19+$L19)</f>
        <v/>
      </c>
      <c r="R19" s="32">
        <f>IF($C19="","",IFERROR((Q19)/$F19,0))</f>
        <v/>
      </c>
      <c r="S19" s="30">
        <f>IF($C19="","",(Q19)*$G19)</f>
        <v/>
      </c>
      <c r="T19" s="30">
        <f>IF($C19="","",(Q19)*$G19)</f>
        <v/>
      </c>
      <c r="U19" s="30">
        <f>IF($C19="","",vEmbalagem*IF(bEmbalagem="Por kg",$I19,1))</f>
        <v/>
      </c>
      <c r="V19" s="30">
        <f>IF($C19="","",vEtiqueta*IF(bEtiqueta="Por kg",$I19,1))</f>
        <v/>
      </c>
      <c r="W19" s="30">
        <f>IF($C19="","",vMaoObra*IF(bMaoObra="Por kg",$I19,1))</f>
        <v/>
      </c>
      <c r="X19" s="30">
        <f>IF($C19="","",vEnergia*IF(bEnergia="Por kg",$I19,1))</f>
        <v/>
      </c>
      <c r="Y19" s="30">
        <f>IF($C19="","",vFilme*IF(bFilme="Por kg",$I19,1)+vDesgaste*IF(bDesgaste="Por kg",$I19,1)+vLimpeza*IF(bLimpeza="Por kg",$I19,1))</f>
        <v/>
      </c>
      <c r="Z19" s="30">
        <f>IF($C19="","",U19+V19+W19+X19+Y19)</f>
        <v/>
      </c>
      <c r="AA19" s="30">
        <f>IF($C19="","",H19+Z19)</f>
        <v/>
      </c>
      <c r="AB19" s="30">
        <f>IF($C19="","",IFERROR(AA19/$I19,0))</f>
        <v/>
      </c>
      <c r="AC19" s="30">
        <f>IF($C19="","",$I19*O19)</f>
        <v/>
      </c>
      <c r="AD19" s="30">
        <f>IF($C19="","",AC19-H19)</f>
        <v/>
      </c>
      <c r="AE19" s="30">
        <f>IF($C19="","",AC19-AA19)</f>
        <v/>
      </c>
      <c r="AF19" s="32">
        <f>IF($C19="","",IFERROR(AE19/AC19,0))</f>
        <v/>
      </c>
      <c r="AG19" s="33">
        <f>IF($C19="","",IFERROR(O19/AB19,0))</f>
        <v/>
      </c>
      <c r="AH19" s="30">
        <f>IF($C19="","",AB19)</f>
        <v/>
      </c>
      <c r="AI19" s="30">
        <f>IF($C19="","",IFERROR(AB19/(1-IFERROR(INDEX(Prod_Margem,MATCH($C19,Prod_Nome,0)),0)),0))</f>
        <v/>
      </c>
      <c r="AJ19" s="29">
        <f>IF($C19="","",IFERROR(INDEX(Prod_Categoria,MATCH($C19,Prod_Nome,0)),""))</f>
        <v/>
      </c>
      <c r="AK19" s="29">
        <f>IF($C19="","",IFERROR(INDEX(Prod_Fornecedor,MATCH($C19,Prod_Nome,0)),""))</f>
        <v/>
      </c>
      <c r="AL19" s="34">
        <f>IF($A19="","",DATE(YEAR($A19),MONTH($A19),1))</f>
        <v/>
      </c>
    </row>
    <row r="20">
      <c r="A20" s="35" t="n"/>
      <c r="B20" s="17" t="n"/>
      <c r="C20" s="17" t="n"/>
      <c r="D20" s="29">
        <f>IF($C20="","",IFERROR(INDEX(Prod_Marca,MATCH($C20,Prod_Nome,0)),""))</f>
        <v/>
      </c>
      <c r="E20" s="16" t="n"/>
      <c r="F20" s="18" t="n"/>
      <c r="G20" s="19" t="n"/>
      <c r="H20" s="30">
        <f>IF($C20="","",$F20*$G20)</f>
        <v/>
      </c>
      <c r="I20" s="18" t="n"/>
      <c r="J20" s="18" t="n"/>
      <c r="K20" s="18" t="n"/>
      <c r="L20" s="18" t="n"/>
      <c r="M20" s="18" t="n"/>
      <c r="N20" s="17" t="n"/>
      <c r="O20" s="30">
        <f>IF($C20="","",IFERROR(INDEX(Prod_PrecoVenda,MATCH($C20,Prod_Nome,0)),0))</f>
        <v/>
      </c>
      <c r="P20" s="17" t="n"/>
      <c r="Q20" s="31">
        <f>IF($C20="","",$J20+$K20+$L20)</f>
        <v/>
      </c>
      <c r="R20" s="32">
        <f>IF($C20="","",IFERROR((Q20)/$F20,0))</f>
        <v/>
      </c>
      <c r="S20" s="30">
        <f>IF($C20="","",(Q20)*$G20)</f>
        <v/>
      </c>
      <c r="T20" s="30">
        <f>IF($C20="","",(Q20)*$G20)</f>
        <v/>
      </c>
      <c r="U20" s="30">
        <f>IF($C20="","",vEmbalagem*IF(bEmbalagem="Por kg",$I20,1))</f>
        <v/>
      </c>
      <c r="V20" s="30">
        <f>IF($C20="","",vEtiqueta*IF(bEtiqueta="Por kg",$I20,1))</f>
        <v/>
      </c>
      <c r="W20" s="30">
        <f>IF($C20="","",vMaoObra*IF(bMaoObra="Por kg",$I20,1))</f>
        <v/>
      </c>
      <c r="X20" s="30">
        <f>IF($C20="","",vEnergia*IF(bEnergia="Por kg",$I20,1))</f>
        <v/>
      </c>
      <c r="Y20" s="30">
        <f>IF($C20="","",vFilme*IF(bFilme="Por kg",$I20,1)+vDesgaste*IF(bDesgaste="Por kg",$I20,1)+vLimpeza*IF(bLimpeza="Por kg",$I20,1))</f>
        <v/>
      </c>
      <c r="Z20" s="30">
        <f>IF($C20="","",U20+V20+W20+X20+Y20)</f>
        <v/>
      </c>
      <c r="AA20" s="30">
        <f>IF($C20="","",H20+Z20)</f>
        <v/>
      </c>
      <c r="AB20" s="30">
        <f>IF($C20="","",IFERROR(AA20/$I20,0))</f>
        <v/>
      </c>
      <c r="AC20" s="30">
        <f>IF($C20="","",$I20*O20)</f>
        <v/>
      </c>
      <c r="AD20" s="30">
        <f>IF($C20="","",AC20-H20)</f>
        <v/>
      </c>
      <c r="AE20" s="30">
        <f>IF($C20="","",AC20-AA20)</f>
        <v/>
      </c>
      <c r="AF20" s="32">
        <f>IF($C20="","",IFERROR(AE20/AC20,0))</f>
        <v/>
      </c>
      <c r="AG20" s="33">
        <f>IF($C20="","",IFERROR(O20/AB20,0))</f>
        <v/>
      </c>
      <c r="AH20" s="30">
        <f>IF($C20="","",AB20)</f>
        <v/>
      </c>
      <c r="AI20" s="30">
        <f>IF($C20="","",IFERROR(AB20/(1-IFERROR(INDEX(Prod_Margem,MATCH($C20,Prod_Nome,0)),0)),0))</f>
        <v/>
      </c>
      <c r="AJ20" s="29">
        <f>IF($C20="","",IFERROR(INDEX(Prod_Categoria,MATCH($C20,Prod_Nome,0)),""))</f>
        <v/>
      </c>
      <c r="AK20" s="29">
        <f>IF($C20="","",IFERROR(INDEX(Prod_Fornecedor,MATCH($C20,Prod_Nome,0)),""))</f>
        <v/>
      </c>
      <c r="AL20" s="34">
        <f>IF($A20="","",DATE(YEAR($A20),MONTH($A20),1))</f>
        <v/>
      </c>
    </row>
    <row r="21">
      <c r="A21" s="28" t="n"/>
      <c r="B21" s="12" t="n"/>
      <c r="C21" s="12" t="n"/>
      <c r="D21" s="29">
        <f>IF($C21="","",IFERROR(INDEX(Prod_Marca,MATCH($C21,Prod_Nome,0)),""))</f>
        <v/>
      </c>
      <c r="E21" s="11" t="n"/>
      <c r="F21" s="13" t="n"/>
      <c r="G21" s="14" t="n"/>
      <c r="H21" s="30">
        <f>IF($C21="","",$F21*$G21)</f>
        <v/>
      </c>
      <c r="I21" s="13" t="n"/>
      <c r="J21" s="13" t="n"/>
      <c r="K21" s="13" t="n"/>
      <c r="L21" s="13" t="n"/>
      <c r="M21" s="13" t="n"/>
      <c r="N21" s="12" t="n"/>
      <c r="O21" s="30">
        <f>IF($C21="","",IFERROR(INDEX(Prod_PrecoVenda,MATCH($C21,Prod_Nome,0)),0))</f>
        <v/>
      </c>
      <c r="P21" s="12" t="n"/>
      <c r="Q21" s="31">
        <f>IF($C21="","",$J21+$K21+$L21)</f>
        <v/>
      </c>
      <c r="R21" s="32">
        <f>IF($C21="","",IFERROR((Q21)/$F21,0))</f>
        <v/>
      </c>
      <c r="S21" s="30">
        <f>IF($C21="","",(Q21)*$G21)</f>
        <v/>
      </c>
      <c r="T21" s="30">
        <f>IF($C21="","",(Q21)*$G21)</f>
        <v/>
      </c>
      <c r="U21" s="30">
        <f>IF($C21="","",vEmbalagem*IF(bEmbalagem="Por kg",$I21,1))</f>
        <v/>
      </c>
      <c r="V21" s="30">
        <f>IF($C21="","",vEtiqueta*IF(bEtiqueta="Por kg",$I21,1))</f>
        <v/>
      </c>
      <c r="W21" s="30">
        <f>IF($C21="","",vMaoObra*IF(bMaoObra="Por kg",$I21,1))</f>
        <v/>
      </c>
      <c r="X21" s="30">
        <f>IF($C21="","",vEnergia*IF(bEnergia="Por kg",$I21,1))</f>
        <v/>
      </c>
      <c r="Y21" s="30">
        <f>IF($C21="","",vFilme*IF(bFilme="Por kg",$I21,1)+vDesgaste*IF(bDesgaste="Por kg",$I21,1)+vLimpeza*IF(bLimpeza="Por kg",$I21,1))</f>
        <v/>
      </c>
      <c r="Z21" s="30">
        <f>IF($C21="","",U21+V21+W21+X21+Y21)</f>
        <v/>
      </c>
      <c r="AA21" s="30">
        <f>IF($C21="","",H21+Z21)</f>
        <v/>
      </c>
      <c r="AB21" s="30">
        <f>IF($C21="","",IFERROR(AA21/$I21,0))</f>
        <v/>
      </c>
      <c r="AC21" s="30">
        <f>IF($C21="","",$I21*O21)</f>
        <v/>
      </c>
      <c r="AD21" s="30">
        <f>IF($C21="","",AC21-H21)</f>
        <v/>
      </c>
      <c r="AE21" s="30">
        <f>IF($C21="","",AC21-AA21)</f>
        <v/>
      </c>
      <c r="AF21" s="32">
        <f>IF($C21="","",IFERROR(AE21/AC21,0))</f>
        <v/>
      </c>
      <c r="AG21" s="33">
        <f>IF($C21="","",IFERROR(O21/AB21,0))</f>
        <v/>
      </c>
      <c r="AH21" s="30">
        <f>IF($C21="","",AB21)</f>
        <v/>
      </c>
      <c r="AI21" s="30">
        <f>IF($C21="","",IFERROR(AB21/(1-IFERROR(INDEX(Prod_Margem,MATCH($C21,Prod_Nome,0)),0)),0))</f>
        <v/>
      </c>
      <c r="AJ21" s="29">
        <f>IF($C21="","",IFERROR(INDEX(Prod_Categoria,MATCH($C21,Prod_Nome,0)),""))</f>
        <v/>
      </c>
      <c r="AK21" s="29">
        <f>IF($C21="","",IFERROR(INDEX(Prod_Fornecedor,MATCH($C21,Prod_Nome,0)),""))</f>
        <v/>
      </c>
      <c r="AL21" s="34">
        <f>IF($A21="","",DATE(YEAR($A21),MONTH($A21),1))</f>
        <v/>
      </c>
    </row>
    <row r="22">
      <c r="A22" s="35" t="n"/>
      <c r="B22" s="17" t="n"/>
      <c r="C22" s="17" t="n"/>
      <c r="D22" s="29">
        <f>IF($C22="","",IFERROR(INDEX(Prod_Marca,MATCH($C22,Prod_Nome,0)),""))</f>
        <v/>
      </c>
      <c r="E22" s="16" t="n"/>
      <c r="F22" s="18" t="n"/>
      <c r="G22" s="19" t="n"/>
      <c r="H22" s="30">
        <f>IF($C22="","",$F22*$G22)</f>
        <v/>
      </c>
      <c r="I22" s="18" t="n"/>
      <c r="J22" s="18" t="n"/>
      <c r="K22" s="18" t="n"/>
      <c r="L22" s="18" t="n"/>
      <c r="M22" s="18" t="n"/>
      <c r="N22" s="17" t="n"/>
      <c r="O22" s="30">
        <f>IF($C22="","",IFERROR(INDEX(Prod_PrecoVenda,MATCH($C22,Prod_Nome,0)),0))</f>
        <v/>
      </c>
      <c r="P22" s="17" t="n"/>
      <c r="Q22" s="31">
        <f>IF($C22="","",$J22+$K22+$L22)</f>
        <v/>
      </c>
      <c r="R22" s="32">
        <f>IF($C22="","",IFERROR((Q22)/$F22,0))</f>
        <v/>
      </c>
      <c r="S22" s="30">
        <f>IF($C22="","",(Q22)*$G22)</f>
        <v/>
      </c>
      <c r="T22" s="30">
        <f>IF($C22="","",(Q22)*$G22)</f>
        <v/>
      </c>
      <c r="U22" s="30">
        <f>IF($C22="","",vEmbalagem*IF(bEmbalagem="Por kg",$I22,1))</f>
        <v/>
      </c>
      <c r="V22" s="30">
        <f>IF($C22="","",vEtiqueta*IF(bEtiqueta="Por kg",$I22,1))</f>
        <v/>
      </c>
      <c r="W22" s="30">
        <f>IF($C22="","",vMaoObra*IF(bMaoObra="Por kg",$I22,1))</f>
        <v/>
      </c>
      <c r="X22" s="30">
        <f>IF($C22="","",vEnergia*IF(bEnergia="Por kg",$I22,1))</f>
        <v/>
      </c>
      <c r="Y22" s="30">
        <f>IF($C22="","",vFilme*IF(bFilme="Por kg",$I22,1)+vDesgaste*IF(bDesgaste="Por kg",$I22,1)+vLimpeza*IF(bLimpeza="Por kg",$I22,1))</f>
        <v/>
      </c>
      <c r="Z22" s="30">
        <f>IF($C22="","",U22+V22+W22+X22+Y22)</f>
        <v/>
      </c>
      <c r="AA22" s="30">
        <f>IF($C22="","",H22+Z22)</f>
        <v/>
      </c>
      <c r="AB22" s="30">
        <f>IF($C22="","",IFERROR(AA22/$I22,0))</f>
        <v/>
      </c>
      <c r="AC22" s="30">
        <f>IF($C22="","",$I22*O22)</f>
        <v/>
      </c>
      <c r="AD22" s="30">
        <f>IF($C22="","",AC22-H22)</f>
        <v/>
      </c>
      <c r="AE22" s="30">
        <f>IF($C22="","",AC22-AA22)</f>
        <v/>
      </c>
      <c r="AF22" s="32">
        <f>IF($C22="","",IFERROR(AE22/AC22,0))</f>
        <v/>
      </c>
      <c r="AG22" s="33">
        <f>IF($C22="","",IFERROR(O22/AB22,0))</f>
        <v/>
      </c>
      <c r="AH22" s="30">
        <f>IF($C22="","",AB22)</f>
        <v/>
      </c>
      <c r="AI22" s="30">
        <f>IF($C22="","",IFERROR(AB22/(1-IFERROR(INDEX(Prod_Margem,MATCH($C22,Prod_Nome,0)),0)),0))</f>
        <v/>
      </c>
      <c r="AJ22" s="29">
        <f>IF($C22="","",IFERROR(INDEX(Prod_Categoria,MATCH($C22,Prod_Nome,0)),""))</f>
        <v/>
      </c>
      <c r="AK22" s="29">
        <f>IF($C22="","",IFERROR(INDEX(Prod_Fornecedor,MATCH($C22,Prod_Nome,0)),""))</f>
        <v/>
      </c>
      <c r="AL22" s="34">
        <f>IF($A22="","",DATE(YEAR($A22),MONTH($A22),1))</f>
        <v/>
      </c>
    </row>
    <row r="23">
      <c r="A23" s="28" t="n"/>
      <c r="B23" s="12" t="n"/>
      <c r="C23" s="12" t="n"/>
      <c r="D23" s="29">
        <f>IF($C23="","",IFERROR(INDEX(Prod_Marca,MATCH($C23,Prod_Nome,0)),""))</f>
        <v/>
      </c>
      <c r="E23" s="11" t="n"/>
      <c r="F23" s="13" t="n"/>
      <c r="G23" s="14" t="n"/>
      <c r="H23" s="30">
        <f>IF($C23="","",$F23*$G23)</f>
        <v/>
      </c>
      <c r="I23" s="13" t="n"/>
      <c r="J23" s="13" t="n"/>
      <c r="K23" s="13" t="n"/>
      <c r="L23" s="13" t="n"/>
      <c r="M23" s="13" t="n"/>
      <c r="N23" s="12" t="n"/>
      <c r="O23" s="30">
        <f>IF($C23="","",IFERROR(INDEX(Prod_PrecoVenda,MATCH($C23,Prod_Nome,0)),0))</f>
        <v/>
      </c>
      <c r="P23" s="12" t="n"/>
      <c r="Q23" s="31">
        <f>IF($C23="","",$J23+$K23+$L23)</f>
        <v/>
      </c>
      <c r="R23" s="32">
        <f>IF($C23="","",IFERROR((Q23)/$F23,0))</f>
        <v/>
      </c>
      <c r="S23" s="30">
        <f>IF($C23="","",(Q23)*$G23)</f>
        <v/>
      </c>
      <c r="T23" s="30">
        <f>IF($C23="","",(Q23)*$G23)</f>
        <v/>
      </c>
      <c r="U23" s="30">
        <f>IF($C23="","",vEmbalagem*IF(bEmbalagem="Por kg",$I23,1))</f>
        <v/>
      </c>
      <c r="V23" s="30">
        <f>IF($C23="","",vEtiqueta*IF(bEtiqueta="Por kg",$I23,1))</f>
        <v/>
      </c>
      <c r="W23" s="30">
        <f>IF($C23="","",vMaoObra*IF(bMaoObra="Por kg",$I23,1))</f>
        <v/>
      </c>
      <c r="X23" s="30">
        <f>IF($C23="","",vEnergia*IF(bEnergia="Por kg",$I23,1))</f>
        <v/>
      </c>
      <c r="Y23" s="30">
        <f>IF($C23="","",vFilme*IF(bFilme="Por kg",$I23,1)+vDesgaste*IF(bDesgaste="Por kg",$I23,1)+vLimpeza*IF(bLimpeza="Por kg",$I23,1))</f>
        <v/>
      </c>
      <c r="Z23" s="30">
        <f>IF($C23="","",U23+V23+W23+X23+Y23)</f>
        <v/>
      </c>
      <c r="AA23" s="30">
        <f>IF($C23="","",H23+Z23)</f>
        <v/>
      </c>
      <c r="AB23" s="30">
        <f>IF($C23="","",IFERROR(AA23/$I23,0))</f>
        <v/>
      </c>
      <c r="AC23" s="30">
        <f>IF($C23="","",$I23*O23)</f>
        <v/>
      </c>
      <c r="AD23" s="30">
        <f>IF($C23="","",AC23-H23)</f>
        <v/>
      </c>
      <c r="AE23" s="30">
        <f>IF($C23="","",AC23-AA23)</f>
        <v/>
      </c>
      <c r="AF23" s="32">
        <f>IF($C23="","",IFERROR(AE23/AC23,0))</f>
        <v/>
      </c>
      <c r="AG23" s="33">
        <f>IF($C23="","",IFERROR(O23/AB23,0))</f>
        <v/>
      </c>
      <c r="AH23" s="30">
        <f>IF($C23="","",AB23)</f>
        <v/>
      </c>
      <c r="AI23" s="30">
        <f>IF($C23="","",IFERROR(AB23/(1-IFERROR(INDEX(Prod_Margem,MATCH($C23,Prod_Nome,0)),0)),0))</f>
        <v/>
      </c>
      <c r="AJ23" s="29">
        <f>IF($C23="","",IFERROR(INDEX(Prod_Categoria,MATCH($C23,Prod_Nome,0)),""))</f>
        <v/>
      </c>
      <c r="AK23" s="29">
        <f>IF($C23="","",IFERROR(INDEX(Prod_Fornecedor,MATCH($C23,Prod_Nome,0)),""))</f>
        <v/>
      </c>
      <c r="AL23" s="34">
        <f>IF($A23="","",DATE(YEAR($A23),MONTH($A23),1))</f>
        <v/>
      </c>
    </row>
    <row r="24">
      <c r="A24" s="35" t="n"/>
      <c r="B24" s="17" t="n"/>
      <c r="C24" s="17" t="n"/>
      <c r="D24" s="29">
        <f>IF($C24="","",IFERROR(INDEX(Prod_Marca,MATCH($C24,Prod_Nome,0)),""))</f>
        <v/>
      </c>
      <c r="E24" s="16" t="n"/>
      <c r="F24" s="18" t="n"/>
      <c r="G24" s="19" t="n"/>
      <c r="H24" s="30">
        <f>IF($C24="","",$F24*$G24)</f>
        <v/>
      </c>
      <c r="I24" s="18" t="n"/>
      <c r="J24" s="18" t="n"/>
      <c r="K24" s="18" t="n"/>
      <c r="L24" s="18" t="n"/>
      <c r="M24" s="18" t="n"/>
      <c r="N24" s="17" t="n"/>
      <c r="O24" s="30">
        <f>IF($C24="","",IFERROR(INDEX(Prod_PrecoVenda,MATCH($C24,Prod_Nome,0)),0))</f>
        <v/>
      </c>
      <c r="P24" s="17" t="n"/>
      <c r="Q24" s="31">
        <f>IF($C24="","",$J24+$K24+$L24)</f>
        <v/>
      </c>
      <c r="R24" s="32">
        <f>IF($C24="","",IFERROR((Q24)/$F24,0))</f>
        <v/>
      </c>
      <c r="S24" s="30">
        <f>IF($C24="","",(Q24)*$G24)</f>
        <v/>
      </c>
      <c r="T24" s="30">
        <f>IF($C24="","",(Q24)*$G24)</f>
        <v/>
      </c>
      <c r="U24" s="30">
        <f>IF($C24="","",vEmbalagem*IF(bEmbalagem="Por kg",$I24,1))</f>
        <v/>
      </c>
      <c r="V24" s="30">
        <f>IF($C24="","",vEtiqueta*IF(bEtiqueta="Por kg",$I24,1))</f>
        <v/>
      </c>
      <c r="W24" s="30">
        <f>IF($C24="","",vMaoObra*IF(bMaoObra="Por kg",$I24,1))</f>
        <v/>
      </c>
      <c r="X24" s="30">
        <f>IF($C24="","",vEnergia*IF(bEnergia="Por kg",$I24,1))</f>
        <v/>
      </c>
      <c r="Y24" s="30">
        <f>IF($C24="","",vFilme*IF(bFilme="Por kg",$I24,1)+vDesgaste*IF(bDesgaste="Por kg",$I24,1)+vLimpeza*IF(bLimpeza="Por kg",$I24,1))</f>
        <v/>
      </c>
      <c r="Z24" s="30">
        <f>IF($C24="","",U24+V24+W24+X24+Y24)</f>
        <v/>
      </c>
      <c r="AA24" s="30">
        <f>IF($C24="","",H24+Z24)</f>
        <v/>
      </c>
      <c r="AB24" s="30">
        <f>IF($C24="","",IFERROR(AA24/$I24,0))</f>
        <v/>
      </c>
      <c r="AC24" s="30">
        <f>IF($C24="","",$I24*O24)</f>
        <v/>
      </c>
      <c r="AD24" s="30">
        <f>IF($C24="","",AC24-H24)</f>
        <v/>
      </c>
      <c r="AE24" s="30">
        <f>IF($C24="","",AC24-AA24)</f>
        <v/>
      </c>
      <c r="AF24" s="32">
        <f>IF($C24="","",IFERROR(AE24/AC24,0))</f>
        <v/>
      </c>
      <c r="AG24" s="33">
        <f>IF($C24="","",IFERROR(O24/AB24,0))</f>
        <v/>
      </c>
      <c r="AH24" s="30">
        <f>IF($C24="","",AB24)</f>
        <v/>
      </c>
      <c r="AI24" s="30">
        <f>IF($C24="","",IFERROR(AB24/(1-IFERROR(INDEX(Prod_Margem,MATCH($C24,Prod_Nome,0)),0)),0))</f>
        <v/>
      </c>
      <c r="AJ24" s="29">
        <f>IF($C24="","",IFERROR(INDEX(Prod_Categoria,MATCH($C24,Prod_Nome,0)),""))</f>
        <v/>
      </c>
      <c r="AK24" s="29">
        <f>IF($C24="","",IFERROR(INDEX(Prod_Fornecedor,MATCH($C24,Prod_Nome,0)),""))</f>
        <v/>
      </c>
      <c r="AL24" s="34">
        <f>IF($A24="","",DATE(YEAR($A24),MONTH($A24),1))</f>
        <v/>
      </c>
    </row>
    <row r="25">
      <c r="A25" s="28" t="n"/>
      <c r="B25" s="12" t="n"/>
      <c r="C25" s="12" t="n"/>
      <c r="D25" s="29">
        <f>IF($C25="","",IFERROR(INDEX(Prod_Marca,MATCH($C25,Prod_Nome,0)),""))</f>
        <v/>
      </c>
      <c r="E25" s="11" t="n"/>
      <c r="F25" s="13" t="n"/>
      <c r="G25" s="14" t="n"/>
      <c r="H25" s="30">
        <f>IF($C25="","",$F25*$G25)</f>
        <v/>
      </c>
      <c r="I25" s="13" t="n"/>
      <c r="J25" s="13" t="n"/>
      <c r="K25" s="13" t="n"/>
      <c r="L25" s="13" t="n"/>
      <c r="M25" s="13" t="n"/>
      <c r="N25" s="12" t="n"/>
      <c r="O25" s="30">
        <f>IF($C25="","",IFERROR(INDEX(Prod_PrecoVenda,MATCH($C25,Prod_Nome,0)),0))</f>
        <v/>
      </c>
      <c r="P25" s="12" t="n"/>
      <c r="Q25" s="31">
        <f>IF($C25="","",$J25+$K25+$L25)</f>
        <v/>
      </c>
      <c r="R25" s="32">
        <f>IF($C25="","",IFERROR((Q25)/$F25,0))</f>
        <v/>
      </c>
      <c r="S25" s="30">
        <f>IF($C25="","",(Q25)*$G25)</f>
        <v/>
      </c>
      <c r="T25" s="30">
        <f>IF($C25="","",(Q25)*$G25)</f>
        <v/>
      </c>
      <c r="U25" s="30">
        <f>IF($C25="","",vEmbalagem*IF(bEmbalagem="Por kg",$I25,1))</f>
        <v/>
      </c>
      <c r="V25" s="30">
        <f>IF($C25="","",vEtiqueta*IF(bEtiqueta="Por kg",$I25,1))</f>
        <v/>
      </c>
      <c r="W25" s="30">
        <f>IF($C25="","",vMaoObra*IF(bMaoObra="Por kg",$I25,1))</f>
        <v/>
      </c>
      <c r="X25" s="30">
        <f>IF($C25="","",vEnergia*IF(bEnergia="Por kg",$I25,1))</f>
        <v/>
      </c>
      <c r="Y25" s="30">
        <f>IF($C25="","",vFilme*IF(bFilme="Por kg",$I25,1)+vDesgaste*IF(bDesgaste="Por kg",$I25,1)+vLimpeza*IF(bLimpeza="Por kg",$I25,1))</f>
        <v/>
      </c>
      <c r="Z25" s="30">
        <f>IF($C25="","",U25+V25+W25+X25+Y25)</f>
        <v/>
      </c>
      <c r="AA25" s="30">
        <f>IF($C25="","",H25+Z25)</f>
        <v/>
      </c>
      <c r="AB25" s="30">
        <f>IF($C25="","",IFERROR(AA25/$I25,0))</f>
        <v/>
      </c>
      <c r="AC25" s="30">
        <f>IF($C25="","",$I25*O25)</f>
        <v/>
      </c>
      <c r="AD25" s="30">
        <f>IF($C25="","",AC25-H25)</f>
        <v/>
      </c>
      <c r="AE25" s="30">
        <f>IF($C25="","",AC25-AA25)</f>
        <v/>
      </c>
      <c r="AF25" s="32">
        <f>IF($C25="","",IFERROR(AE25/AC25,0))</f>
        <v/>
      </c>
      <c r="AG25" s="33">
        <f>IF($C25="","",IFERROR(O25/AB25,0))</f>
        <v/>
      </c>
      <c r="AH25" s="30">
        <f>IF($C25="","",AB25)</f>
        <v/>
      </c>
      <c r="AI25" s="30">
        <f>IF($C25="","",IFERROR(AB25/(1-IFERROR(INDEX(Prod_Margem,MATCH($C25,Prod_Nome,0)),0)),0))</f>
        <v/>
      </c>
      <c r="AJ25" s="29">
        <f>IF($C25="","",IFERROR(INDEX(Prod_Categoria,MATCH($C25,Prod_Nome,0)),""))</f>
        <v/>
      </c>
      <c r="AK25" s="29">
        <f>IF($C25="","",IFERROR(INDEX(Prod_Fornecedor,MATCH($C25,Prod_Nome,0)),""))</f>
        <v/>
      </c>
      <c r="AL25" s="34">
        <f>IF($A25="","",DATE(YEAR($A25),MONTH($A25),1))</f>
        <v/>
      </c>
    </row>
    <row r="26">
      <c r="A26" s="35" t="n"/>
      <c r="B26" s="17" t="n"/>
      <c r="C26" s="17" t="n"/>
      <c r="D26" s="29">
        <f>IF($C26="","",IFERROR(INDEX(Prod_Marca,MATCH($C26,Prod_Nome,0)),""))</f>
        <v/>
      </c>
      <c r="E26" s="16" t="n"/>
      <c r="F26" s="18" t="n"/>
      <c r="G26" s="19" t="n"/>
      <c r="H26" s="30">
        <f>IF($C26="","",$F26*$G26)</f>
        <v/>
      </c>
      <c r="I26" s="18" t="n"/>
      <c r="J26" s="18" t="n"/>
      <c r="K26" s="18" t="n"/>
      <c r="L26" s="18" t="n"/>
      <c r="M26" s="18" t="n"/>
      <c r="N26" s="17" t="n"/>
      <c r="O26" s="30">
        <f>IF($C26="","",IFERROR(INDEX(Prod_PrecoVenda,MATCH($C26,Prod_Nome,0)),0))</f>
        <v/>
      </c>
      <c r="P26" s="17" t="n"/>
      <c r="Q26" s="31">
        <f>IF($C26="","",$J26+$K26+$L26)</f>
        <v/>
      </c>
      <c r="R26" s="32">
        <f>IF($C26="","",IFERROR((Q26)/$F26,0))</f>
        <v/>
      </c>
      <c r="S26" s="30">
        <f>IF($C26="","",(Q26)*$G26)</f>
        <v/>
      </c>
      <c r="T26" s="30">
        <f>IF($C26="","",(Q26)*$G26)</f>
        <v/>
      </c>
      <c r="U26" s="30">
        <f>IF($C26="","",vEmbalagem*IF(bEmbalagem="Por kg",$I26,1))</f>
        <v/>
      </c>
      <c r="V26" s="30">
        <f>IF($C26="","",vEtiqueta*IF(bEtiqueta="Por kg",$I26,1))</f>
        <v/>
      </c>
      <c r="W26" s="30">
        <f>IF($C26="","",vMaoObra*IF(bMaoObra="Por kg",$I26,1))</f>
        <v/>
      </c>
      <c r="X26" s="30">
        <f>IF($C26="","",vEnergia*IF(bEnergia="Por kg",$I26,1))</f>
        <v/>
      </c>
      <c r="Y26" s="30">
        <f>IF($C26="","",vFilme*IF(bFilme="Por kg",$I26,1)+vDesgaste*IF(bDesgaste="Por kg",$I26,1)+vLimpeza*IF(bLimpeza="Por kg",$I26,1))</f>
        <v/>
      </c>
      <c r="Z26" s="30">
        <f>IF($C26="","",U26+V26+W26+X26+Y26)</f>
        <v/>
      </c>
      <c r="AA26" s="30">
        <f>IF($C26="","",H26+Z26)</f>
        <v/>
      </c>
      <c r="AB26" s="30">
        <f>IF($C26="","",IFERROR(AA26/$I26,0))</f>
        <v/>
      </c>
      <c r="AC26" s="30">
        <f>IF($C26="","",$I26*O26)</f>
        <v/>
      </c>
      <c r="AD26" s="30">
        <f>IF($C26="","",AC26-H26)</f>
        <v/>
      </c>
      <c r="AE26" s="30">
        <f>IF($C26="","",AC26-AA26)</f>
        <v/>
      </c>
      <c r="AF26" s="32">
        <f>IF($C26="","",IFERROR(AE26/AC26,0))</f>
        <v/>
      </c>
      <c r="AG26" s="33">
        <f>IF($C26="","",IFERROR(O26/AB26,0))</f>
        <v/>
      </c>
      <c r="AH26" s="30">
        <f>IF($C26="","",AB26)</f>
        <v/>
      </c>
      <c r="AI26" s="30">
        <f>IF($C26="","",IFERROR(AB26/(1-IFERROR(INDEX(Prod_Margem,MATCH($C26,Prod_Nome,0)),0)),0))</f>
        <v/>
      </c>
      <c r="AJ26" s="29">
        <f>IF($C26="","",IFERROR(INDEX(Prod_Categoria,MATCH($C26,Prod_Nome,0)),""))</f>
        <v/>
      </c>
      <c r="AK26" s="29">
        <f>IF($C26="","",IFERROR(INDEX(Prod_Fornecedor,MATCH($C26,Prod_Nome,0)),""))</f>
        <v/>
      </c>
      <c r="AL26" s="34">
        <f>IF($A26="","",DATE(YEAR($A26),MONTH($A26),1))</f>
        <v/>
      </c>
    </row>
    <row r="27">
      <c r="A27" s="28" t="n"/>
      <c r="B27" s="12" t="n"/>
      <c r="C27" s="12" t="n"/>
      <c r="D27" s="29">
        <f>IF($C27="","",IFERROR(INDEX(Prod_Marca,MATCH($C27,Prod_Nome,0)),""))</f>
        <v/>
      </c>
      <c r="E27" s="11" t="n"/>
      <c r="F27" s="13" t="n"/>
      <c r="G27" s="14" t="n"/>
      <c r="H27" s="30">
        <f>IF($C27="","",$F27*$G27)</f>
        <v/>
      </c>
      <c r="I27" s="13" t="n"/>
      <c r="J27" s="13" t="n"/>
      <c r="K27" s="13" t="n"/>
      <c r="L27" s="13" t="n"/>
      <c r="M27" s="13" t="n"/>
      <c r="N27" s="12" t="n"/>
      <c r="O27" s="30">
        <f>IF($C27="","",IFERROR(INDEX(Prod_PrecoVenda,MATCH($C27,Prod_Nome,0)),0))</f>
        <v/>
      </c>
      <c r="P27" s="12" t="n"/>
      <c r="Q27" s="31">
        <f>IF($C27="","",$J27+$K27+$L27)</f>
        <v/>
      </c>
      <c r="R27" s="32">
        <f>IF($C27="","",IFERROR((Q27)/$F27,0))</f>
        <v/>
      </c>
      <c r="S27" s="30">
        <f>IF($C27="","",(Q27)*$G27)</f>
        <v/>
      </c>
      <c r="T27" s="30">
        <f>IF($C27="","",(Q27)*$G27)</f>
        <v/>
      </c>
      <c r="U27" s="30">
        <f>IF($C27="","",vEmbalagem*IF(bEmbalagem="Por kg",$I27,1))</f>
        <v/>
      </c>
      <c r="V27" s="30">
        <f>IF($C27="","",vEtiqueta*IF(bEtiqueta="Por kg",$I27,1))</f>
        <v/>
      </c>
      <c r="W27" s="30">
        <f>IF($C27="","",vMaoObra*IF(bMaoObra="Por kg",$I27,1))</f>
        <v/>
      </c>
      <c r="X27" s="30">
        <f>IF($C27="","",vEnergia*IF(bEnergia="Por kg",$I27,1))</f>
        <v/>
      </c>
      <c r="Y27" s="30">
        <f>IF($C27="","",vFilme*IF(bFilme="Por kg",$I27,1)+vDesgaste*IF(bDesgaste="Por kg",$I27,1)+vLimpeza*IF(bLimpeza="Por kg",$I27,1))</f>
        <v/>
      </c>
      <c r="Z27" s="30">
        <f>IF($C27="","",U27+V27+W27+X27+Y27)</f>
        <v/>
      </c>
      <c r="AA27" s="30">
        <f>IF($C27="","",H27+Z27)</f>
        <v/>
      </c>
      <c r="AB27" s="30">
        <f>IF($C27="","",IFERROR(AA27/$I27,0))</f>
        <v/>
      </c>
      <c r="AC27" s="30">
        <f>IF($C27="","",$I27*O27)</f>
        <v/>
      </c>
      <c r="AD27" s="30">
        <f>IF($C27="","",AC27-H27)</f>
        <v/>
      </c>
      <c r="AE27" s="30">
        <f>IF($C27="","",AC27-AA27)</f>
        <v/>
      </c>
      <c r="AF27" s="32">
        <f>IF($C27="","",IFERROR(AE27/AC27,0))</f>
        <v/>
      </c>
      <c r="AG27" s="33">
        <f>IF($C27="","",IFERROR(O27/AB27,0))</f>
        <v/>
      </c>
      <c r="AH27" s="30">
        <f>IF($C27="","",AB27)</f>
        <v/>
      </c>
      <c r="AI27" s="30">
        <f>IF($C27="","",IFERROR(AB27/(1-IFERROR(INDEX(Prod_Margem,MATCH($C27,Prod_Nome,0)),0)),0))</f>
        <v/>
      </c>
      <c r="AJ27" s="29">
        <f>IF($C27="","",IFERROR(INDEX(Prod_Categoria,MATCH($C27,Prod_Nome,0)),""))</f>
        <v/>
      </c>
      <c r="AK27" s="29">
        <f>IF($C27="","",IFERROR(INDEX(Prod_Fornecedor,MATCH($C27,Prod_Nome,0)),""))</f>
        <v/>
      </c>
      <c r="AL27" s="34">
        <f>IF($A27="","",DATE(YEAR($A27),MONTH($A27),1))</f>
        <v/>
      </c>
    </row>
    <row r="28">
      <c r="A28" s="35" t="n"/>
      <c r="B28" s="17" t="n"/>
      <c r="C28" s="17" t="n"/>
      <c r="D28" s="29">
        <f>IF($C28="","",IFERROR(INDEX(Prod_Marca,MATCH($C28,Prod_Nome,0)),""))</f>
        <v/>
      </c>
      <c r="E28" s="16" t="n"/>
      <c r="F28" s="18" t="n"/>
      <c r="G28" s="19" t="n"/>
      <c r="H28" s="30">
        <f>IF($C28="","",$F28*$G28)</f>
        <v/>
      </c>
      <c r="I28" s="18" t="n"/>
      <c r="J28" s="18" t="n"/>
      <c r="K28" s="18" t="n"/>
      <c r="L28" s="18" t="n"/>
      <c r="M28" s="18" t="n"/>
      <c r="N28" s="17" t="n"/>
      <c r="O28" s="30">
        <f>IF($C28="","",IFERROR(INDEX(Prod_PrecoVenda,MATCH($C28,Prod_Nome,0)),0))</f>
        <v/>
      </c>
      <c r="P28" s="17" t="n"/>
      <c r="Q28" s="31">
        <f>IF($C28="","",$J28+$K28+$L28)</f>
        <v/>
      </c>
      <c r="R28" s="32">
        <f>IF($C28="","",IFERROR((Q28)/$F28,0))</f>
        <v/>
      </c>
      <c r="S28" s="30">
        <f>IF($C28="","",(Q28)*$G28)</f>
        <v/>
      </c>
      <c r="T28" s="30">
        <f>IF($C28="","",(Q28)*$G28)</f>
        <v/>
      </c>
      <c r="U28" s="30">
        <f>IF($C28="","",vEmbalagem*IF(bEmbalagem="Por kg",$I28,1))</f>
        <v/>
      </c>
      <c r="V28" s="30">
        <f>IF($C28="","",vEtiqueta*IF(bEtiqueta="Por kg",$I28,1))</f>
        <v/>
      </c>
      <c r="W28" s="30">
        <f>IF($C28="","",vMaoObra*IF(bMaoObra="Por kg",$I28,1))</f>
        <v/>
      </c>
      <c r="X28" s="30">
        <f>IF($C28="","",vEnergia*IF(bEnergia="Por kg",$I28,1))</f>
        <v/>
      </c>
      <c r="Y28" s="30">
        <f>IF($C28="","",vFilme*IF(bFilme="Por kg",$I28,1)+vDesgaste*IF(bDesgaste="Por kg",$I28,1)+vLimpeza*IF(bLimpeza="Por kg",$I28,1))</f>
        <v/>
      </c>
      <c r="Z28" s="30">
        <f>IF($C28="","",U28+V28+W28+X28+Y28)</f>
        <v/>
      </c>
      <c r="AA28" s="30">
        <f>IF($C28="","",H28+Z28)</f>
        <v/>
      </c>
      <c r="AB28" s="30">
        <f>IF($C28="","",IFERROR(AA28/$I28,0))</f>
        <v/>
      </c>
      <c r="AC28" s="30">
        <f>IF($C28="","",$I28*O28)</f>
        <v/>
      </c>
      <c r="AD28" s="30">
        <f>IF($C28="","",AC28-H28)</f>
        <v/>
      </c>
      <c r="AE28" s="30">
        <f>IF($C28="","",AC28-AA28)</f>
        <v/>
      </c>
      <c r="AF28" s="32">
        <f>IF($C28="","",IFERROR(AE28/AC28,0))</f>
        <v/>
      </c>
      <c r="AG28" s="33">
        <f>IF($C28="","",IFERROR(O28/AB28,0))</f>
        <v/>
      </c>
      <c r="AH28" s="30">
        <f>IF($C28="","",AB28)</f>
        <v/>
      </c>
      <c r="AI28" s="30">
        <f>IF($C28="","",IFERROR(AB28/(1-IFERROR(INDEX(Prod_Margem,MATCH($C28,Prod_Nome,0)),0)),0))</f>
        <v/>
      </c>
      <c r="AJ28" s="29">
        <f>IF($C28="","",IFERROR(INDEX(Prod_Categoria,MATCH($C28,Prod_Nome,0)),""))</f>
        <v/>
      </c>
      <c r="AK28" s="29">
        <f>IF($C28="","",IFERROR(INDEX(Prod_Fornecedor,MATCH($C28,Prod_Nome,0)),""))</f>
        <v/>
      </c>
      <c r="AL28" s="34">
        <f>IF($A28="","",DATE(YEAR($A28),MONTH($A28),1))</f>
        <v/>
      </c>
    </row>
    <row r="29">
      <c r="A29" s="28" t="n"/>
      <c r="B29" s="12" t="n"/>
      <c r="C29" s="12" t="n"/>
      <c r="D29" s="29">
        <f>IF($C29="","",IFERROR(INDEX(Prod_Marca,MATCH($C29,Prod_Nome,0)),""))</f>
        <v/>
      </c>
      <c r="E29" s="11" t="n"/>
      <c r="F29" s="13" t="n"/>
      <c r="G29" s="14" t="n"/>
      <c r="H29" s="30">
        <f>IF($C29="","",$F29*$G29)</f>
        <v/>
      </c>
      <c r="I29" s="13" t="n"/>
      <c r="J29" s="13" t="n"/>
      <c r="K29" s="13" t="n"/>
      <c r="L29" s="13" t="n"/>
      <c r="M29" s="13" t="n"/>
      <c r="N29" s="12" t="n"/>
      <c r="O29" s="30">
        <f>IF($C29="","",IFERROR(INDEX(Prod_PrecoVenda,MATCH($C29,Prod_Nome,0)),0))</f>
        <v/>
      </c>
      <c r="P29" s="12" t="n"/>
      <c r="Q29" s="31">
        <f>IF($C29="","",$J29+$K29+$L29)</f>
        <v/>
      </c>
      <c r="R29" s="32">
        <f>IF($C29="","",IFERROR((Q29)/$F29,0))</f>
        <v/>
      </c>
      <c r="S29" s="30">
        <f>IF($C29="","",(Q29)*$G29)</f>
        <v/>
      </c>
      <c r="T29" s="30">
        <f>IF($C29="","",(Q29)*$G29)</f>
        <v/>
      </c>
      <c r="U29" s="30">
        <f>IF($C29="","",vEmbalagem*IF(bEmbalagem="Por kg",$I29,1))</f>
        <v/>
      </c>
      <c r="V29" s="30">
        <f>IF($C29="","",vEtiqueta*IF(bEtiqueta="Por kg",$I29,1))</f>
        <v/>
      </c>
      <c r="W29" s="30">
        <f>IF($C29="","",vMaoObra*IF(bMaoObra="Por kg",$I29,1))</f>
        <v/>
      </c>
      <c r="X29" s="30">
        <f>IF($C29="","",vEnergia*IF(bEnergia="Por kg",$I29,1))</f>
        <v/>
      </c>
      <c r="Y29" s="30">
        <f>IF($C29="","",vFilme*IF(bFilme="Por kg",$I29,1)+vDesgaste*IF(bDesgaste="Por kg",$I29,1)+vLimpeza*IF(bLimpeza="Por kg",$I29,1))</f>
        <v/>
      </c>
      <c r="Z29" s="30">
        <f>IF($C29="","",U29+V29+W29+X29+Y29)</f>
        <v/>
      </c>
      <c r="AA29" s="30">
        <f>IF($C29="","",H29+Z29)</f>
        <v/>
      </c>
      <c r="AB29" s="30">
        <f>IF($C29="","",IFERROR(AA29/$I29,0))</f>
        <v/>
      </c>
      <c r="AC29" s="30">
        <f>IF($C29="","",$I29*O29)</f>
        <v/>
      </c>
      <c r="AD29" s="30">
        <f>IF($C29="","",AC29-H29)</f>
        <v/>
      </c>
      <c r="AE29" s="30">
        <f>IF($C29="","",AC29-AA29)</f>
        <v/>
      </c>
      <c r="AF29" s="32">
        <f>IF($C29="","",IFERROR(AE29/AC29,0))</f>
        <v/>
      </c>
      <c r="AG29" s="33">
        <f>IF($C29="","",IFERROR(O29/AB29,0))</f>
        <v/>
      </c>
      <c r="AH29" s="30">
        <f>IF($C29="","",AB29)</f>
        <v/>
      </c>
      <c r="AI29" s="30">
        <f>IF($C29="","",IFERROR(AB29/(1-IFERROR(INDEX(Prod_Margem,MATCH($C29,Prod_Nome,0)),0)),0))</f>
        <v/>
      </c>
      <c r="AJ29" s="29">
        <f>IF($C29="","",IFERROR(INDEX(Prod_Categoria,MATCH($C29,Prod_Nome,0)),""))</f>
        <v/>
      </c>
      <c r="AK29" s="29">
        <f>IF($C29="","",IFERROR(INDEX(Prod_Fornecedor,MATCH($C29,Prod_Nome,0)),""))</f>
        <v/>
      </c>
      <c r="AL29" s="34">
        <f>IF($A29="","",DATE(YEAR($A29),MONTH($A29),1))</f>
        <v/>
      </c>
    </row>
    <row r="30">
      <c r="A30" s="35" t="n"/>
      <c r="B30" s="17" t="n"/>
      <c r="C30" s="17" t="n"/>
      <c r="D30" s="29">
        <f>IF($C30="","",IFERROR(INDEX(Prod_Marca,MATCH($C30,Prod_Nome,0)),""))</f>
        <v/>
      </c>
      <c r="E30" s="16" t="n"/>
      <c r="F30" s="18" t="n"/>
      <c r="G30" s="19" t="n"/>
      <c r="H30" s="30">
        <f>IF($C30="","",$F30*$G30)</f>
        <v/>
      </c>
      <c r="I30" s="18" t="n"/>
      <c r="J30" s="18" t="n"/>
      <c r="K30" s="18" t="n"/>
      <c r="L30" s="18" t="n"/>
      <c r="M30" s="18" t="n"/>
      <c r="N30" s="17" t="n"/>
      <c r="O30" s="30">
        <f>IF($C30="","",IFERROR(INDEX(Prod_PrecoVenda,MATCH($C30,Prod_Nome,0)),0))</f>
        <v/>
      </c>
      <c r="P30" s="17" t="n"/>
      <c r="Q30" s="31">
        <f>IF($C30="","",$J30+$K30+$L30)</f>
        <v/>
      </c>
      <c r="R30" s="32">
        <f>IF($C30="","",IFERROR((Q30)/$F30,0))</f>
        <v/>
      </c>
      <c r="S30" s="30">
        <f>IF($C30="","",(Q30)*$G30)</f>
        <v/>
      </c>
      <c r="T30" s="30">
        <f>IF($C30="","",(Q30)*$G30)</f>
        <v/>
      </c>
      <c r="U30" s="30">
        <f>IF($C30="","",vEmbalagem*IF(bEmbalagem="Por kg",$I30,1))</f>
        <v/>
      </c>
      <c r="V30" s="30">
        <f>IF($C30="","",vEtiqueta*IF(bEtiqueta="Por kg",$I30,1))</f>
        <v/>
      </c>
      <c r="W30" s="30">
        <f>IF($C30="","",vMaoObra*IF(bMaoObra="Por kg",$I30,1))</f>
        <v/>
      </c>
      <c r="X30" s="30">
        <f>IF($C30="","",vEnergia*IF(bEnergia="Por kg",$I30,1))</f>
        <v/>
      </c>
      <c r="Y30" s="30">
        <f>IF($C30="","",vFilme*IF(bFilme="Por kg",$I30,1)+vDesgaste*IF(bDesgaste="Por kg",$I30,1)+vLimpeza*IF(bLimpeza="Por kg",$I30,1))</f>
        <v/>
      </c>
      <c r="Z30" s="30">
        <f>IF($C30="","",U30+V30+W30+X30+Y30)</f>
        <v/>
      </c>
      <c r="AA30" s="30">
        <f>IF($C30="","",H30+Z30)</f>
        <v/>
      </c>
      <c r="AB30" s="30">
        <f>IF($C30="","",IFERROR(AA30/$I30,0))</f>
        <v/>
      </c>
      <c r="AC30" s="30">
        <f>IF($C30="","",$I30*O30)</f>
        <v/>
      </c>
      <c r="AD30" s="30">
        <f>IF($C30="","",AC30-H30)</f>
        <v/>
      </c>
      <c r="AE30" s="30">
        <f>IF($C30="","",AC30-AA30)</f>
        <v/>
      </c>
      <c r="AF30" s="32">
        <f>IF($C30="","",IFERROR(AE30/AC30,0))</f>
        <v/>
      </c>
      <c r="AG30" s="33">
        <f>IF($C30="","",IFERROR(O30/AB30,0))</f>
        <v/>
      </c>
      <c r="AH30" s="30">
        <f>IF($C30="","",AB30)</f>
        <v/>
      </c>
      <c r="AI30" s="30">
        <f>IF($C30="","",IFERROR(AB30/(1-IFERROR(INDEX(Prod_Margem,MATCH($C30,Prod_Nome,0)),0)),0))</f>
        <v/>
      </c>
      <c r="AJ30" s="29">
        <f>IF($C30="","",IFERROR(INDEX(Prod_Categoria,MATCH($C30,Prod_Nome,0)),""))</f>
        <v/>
      </c>
      <c r="AK30" s="29">
        <f>IF($C30="","",IFERROR(INDEX(Prod_Fornecedor,MATCH($C30,Prod_Nome,0)),""))</f>
        <v/>
      </c>
      <c r="AL30" s="34">
        <f>IF($A30="","",DATE(YEAR($A30),MONTH($A30),1))</f>
        <v/>
      </c>
    </row>
    <row r="31">
      <c r="A31" s="28" t="n"/>
      <c r="B31" s="12" t="n"/>
      <c r="C31" s="12" t="n"/>
      <c r="D31" s="29">
        <f>IF($C31="","",IFERROR(INDEX(Prod_Marca,MATCH($C31,Prod_Nome,0)),""))</f>
        <v/>
      </c>
      <c r="E31" s="11" t="n"/>
      <c r="F31" s="13" t="n"/>
      <c r="G31" s="14" t="n"/>
      <c r="H31" s="30">
        <f>IF($C31="","",$F31*$G31)</f>
        <v/>
      </c>
      <c r="I31" s="13" t="n"/>
      <c r="J31" s="13" t="n"/>
      <c r="K31" s="13" t="n"/>
      <c r="L31" s="13" t="n"/>
      <c r="M31" s="13" t="n"/>
      <c r="N31" s="12" t="n"/>
      <c r="O31" s="30">
        <f>IF($C31="","",IFERROR(INDEX(Prod_PrecoVenda,MATCH($C31,Prod_Nome,0)),0))</f>
        <v/>
      </c>
      <c r="P31" s="12" t="n"/>
      <c r="Q31" s="31">
        <f>IF($C31="","",$J31+$K31+$L31)</f>
        <v/>
      </c>
      <c r="R31" s="32">
        <f>IF($C31="","",IFERROR((Q31)/$F31,0))</f>
        <v/>
      </c>
      <c r="S31" s="30">
        <f>IF($C31="","",(Q31)*$G31)</f>
        <v/>
      </c>
      <c r="T31" s="30">
        <f>IF($C31="","",(Q31)*$G31)</f>
        <v/>
      </c>
      <c r="U31" s="30">
        <f>IF($C31="","",vEmbalagem*IF(bEmbalagem="Por kg",$I31,1))</f>
        <v/>
      </c>
      <c r="V31" s="30">
        <f>IF($C31="","",vEtiqueta*IF(bEtiqueta="Por kg",$I31,1))</f>
        <v/>
      </c>
      <c r="W31" s="30">
        <f>IF($C31="","",vMaoObra*IF(bMaoObra="Por kg",$I31,1))</f>
        <v/>
      </c>
      <c r="X31" s="30">
        <f>IF($C31="","",vEnergia*IF(bEnergia="Por kg",$I31,1))</f>
        <v/>
      </c>
      <c r="Y31" s="30">
        <f>IF($C31="","",vFilme*IF(bFilme="Por kg",$I31,1)+vDesgaste*IF(bDesgaste="Por kg",$I31,1)+vLimpeza*IF(bLimpeza="Por kg",$I31,1))</f>
        <v/>
      </c>
      <c r="Z31" s="30">
        <f>IF($C31="","",U31+V31+W31+X31+Y31)</f>
        <v/>
      </c>
      <c r="AA31" s="30">
        <f>IF($C31="","",H31+Z31)</f>
        <v/>
      </c>
      <c r="AB31" s="30">
        <f>IF($C31="","",IFERROR(AA31/$I31,0))</f>
        <v/>
      </c>
      <c r="AC31" s="30">
        <f>IF($C31="","",$I31*O31)</f>
        <v/>
      </c>
      <c r="AD31" s="30">
        <f>IF($C31="","",AC31-H31)</f>
        <v/>
      </c>
      <c r="AE31" s="30">
        <f>IF($C31="","",AC31-AA31)</f>
        <v/>
      </c>
      <c r="AF31" s="32">
        <f>IF($C31="","",IFERROR(AE31/AC31,0))</f>
        <v/>
      </c>
      <c r="AG31" s="33">
        <f>IF($C31="","",IFERROR(O31/AB31,0))</f>
        <v/>
      </c>
      <c r="AH31" s="30">
        <f>IF($C31="","",AB31)</f>
        <v/>
      </c>
      <c r="AI31" s="30">
        <f>IF($C31="","",IFERROR(AB31/(1-IFERROR(INDEX(Prod_Margem,MATCH($C31,Prod_Nome,0)),0)),0))</f>
        <v/>
      </c>
      <c r="AJ31" s="29">
        <f>IF($C31="","",IFERROR(INDEX(Prod_Categoria,MATCH($C31,Prod_Nome,0)),""))</f>
        <v/>
      </c>
      <c r="AK31" s="29">
        <f>IF($C31="","",IFERROR(INDEX(Prod_Fornecedor,MATCH($C31,Prod_Nome,0)),""))</f>
        <v/>
      </c>
      <c r="AL31" s="34">
        <f>IF($A31="","",DATE(YEAR($A31),MONTH($A31),1))</f>
        <v/>
      </c>
    </row>
    <row r="32">
      <c r="A32" s="35" t="n"/>
      <c r="B32" s="17" t="n"/>
      <c r="C32" s="17" t="n"/>
      <c r="D32" s="29">
        <f>IF($C32="","",IFERROR(INDEX(Prod_Marca,MATCH($C32,Prod_Nome,0)),""))</f>
        <v/>
      </c>
      <c r="E32" s="16" t="n"/>
      <c r="F32" s="18" t="n"/>
      <c r="G32" s="19" t="n"/>
      <c r="H32" s="30">
        <f>IF($C32="","",$F32*$G32)</f>
        <v/>
      </c>
      <c r="I32" s="18" t="n"/>
      <c r="J32" s="18" t="n"/>
      <c r="K32" s="18" t="n"/>
      <c r="L32" s="18" t="n"/>
      <c r="M32" s="18" t="n"/>
      <c r="N32" s="17" t="n"/>
      <c r="O32" s="30">
        <f>IF($C32="","",IFERROR(INDEX(Prod_PrecoVenda,MATCH($C32,Prod_Nome,0)),0))</f>
        <v/>
      </c>
      <c r="P32" s="17" t="n"/>
      <c r="Q32" s="31">
        <f>IF($C32="","",$J32+$K32+$L32)</f>
        <v/>
      </c>
      <c r="R32" s="32">
        <f>IF($C32="","",IFERROR((Q32)/$F32,0))</f>
        <v/>
      </c>
      <c r="S32" s="30">
        <f>IF($C32="","",(Q32)*$G32)</f>
        <v/>
      </c>
      <c r="T32" s="30">
        <f>IF($C32="","",(Q32)*$G32)</f>
        <v/>
      </c>
      <c r="U32" s="30">
        <f>IF($C32="","",vEmbalagem*IF(bEmbalagem="Por kg",$I32,1))</f>
        <v/>
      </c>
      <c r="V32" s="30">
        <f>IF($C32="","",vEtiqueta*IF(bEtiqueta="Por kg",$I32,1))</f>
        <v/>
      </c>
      <c r="W32" s="30">
        <f>IF($C32="","",vMaoObra*IF(bMaoObra="Por kg",$I32,1))</f>
        <v/>
      </c>
      <c r="X32" s="30">
        <f>IF($C32="","",vEnergia*IF(bEnergia="Por kg",$I32,1))</f>
        <v/>
      </c>
      <c r="Y32" s="30">
        <f>IF($C32="","",vFilme*IF(bFilme="Por kg",$I32,1)+vDesgaste*IF(bDesgaste="Por kg",$I32,1)+vLimpeza*IF(bLimpeza="Por kg",$I32,1))</f>
        <v/>
      </c>
      <c r="Z32" s="30">
        <f>IF($C32="","",U32+V32+W32+X32+Y32)</f>
        <v/>
      </c>
      <c r="AA32" s="30">
        <f>IF($C32="","",H32+Z32)</f>
        <v/>
      </c>
      <c r="AB32" s="30">
        <f>IF($C32="","",IFERROR(AA32/$I32,0))</f>
        <v/>
      </c>
      <c r="AC32" s="30">
        <f>IF($C32="","",$I32*O32)</f>
        <v/>
      </c>
      <c r="AD32" s="30">
        <f>IF($C32="","",AC32-H32)</f>
        <v/>
      </c>
      <c r="AE32" s="30">
        <f>IF($C32="","",AC32-AA32)</f>
        <v/>
      </c>
      <c r="AF32" s="32">
        <f>IF($C32="","",IFERROR(AE32/AC32,0))</f>
        <v/>
      </c>
      <c r="AG32" s="33">
        <f>IF($C32="","",IFERROR(O32/AB32,0))</f>
        <v/>
      </c>
      <c r="AH32" s="30">
        <f>IF($C32="","",AB32)</f>
        <v/>
      </c>
      <c r="AI32" s="30">
        <f>IF($C32="","",IFERROR(AB32/(1-IFERROR(INDEX(Prod_Margem,MATCH($C32,Prod_Nome,0)),0)),0))</f>
        <v/>
      </c>
      <c r="AJ32" s="29">
        <f>IF($C32="","",IFERROR(INDEX(Prod_Categoria,MATCH($C32,Prod_Nome,0)),""))</f>
        <v/>
      </c>
      <c r="AK32" s="29">
        <f>IF($C32="","",IFERROR(INDEX(Prod_Fornecedor,MATCH($C32,Prod_Nome,0)),""))</f>
        <v/>
      </c>
      <c r="AL32" s="34">
        <f>IF($A32="","",DATE(YEAR($A32),MONTH($A32),1))</f>
        <v/>
      </c>
    </row>
    <row r="33">
      <c r="A33" s="28" t="n"/>
      <c r="B33" s="12" t="n"/>
      <c r="C33" s="12" t="n"/>
      <c r="D33" s="29">
        <f>IF($C33="","",IFERROR(INDEX(Prod_Marca,MATCH($C33,Prod_Nome,0)),""))</f>
        <v/>
      </c>
      <c r="E33" s="11" t="n"/>
      <c r="F33" s="13" t="n"/>
      <c r="G33" s="14" t="n"/>
      <c r="H33" s="30">
        <f>IF($C33="","",$F33*$G33)</f>
        <v/>
      </c>
      <c r="I33" s="13" t="n"/>
      <c r="J33" s="13" t="n"/>
      <c r="K33" s="13" t="n"/>
      <c r="L33" s="13" t="n"/>
      <c r="M33" s="13" t="n"/>
      <c r="N33" s="12" t="n"/>
      <c r="O33" s="30">
        <f>IF($C33="","",IFERROR(INDEX(Prod_PrecoVenda,MATCH($C33,Prod_Nome,0)),0))</f>
        <v/>
      </c>
      <c r="P33" s="12" t="n"/>
      <c r="Q33" s="31">
        <f>IF($C33="","",$J33+$K33+$L33)</f>
        <v/>
      </c>
      <c r="R33" s="32">
        <f>IF($C33="","",IFERROR((Q33)/$F33,0))</f>
        <v/>
      </c>
      <c r="S33" s="30">
        <f>IF($C33="","",(Q33)*$G33)</f>
        <v/>
      </c>
      <c r="T33" s="30">
        <f>IF($C33="","",(Q33)*$G33)</f>
        <v/>
      </c>
      <c r="U33" s="30">
        <f>IF($C33="","",vEmbalagem*IF(bEmbalagem="Por kg",$I33,1))</f>
        <v/>
      </c>
      <c r="V33" s="30">
        <f>IF($C33="","",vEtiqueta*IF(bEtiqueta="Por kg",$I33,1))</f>
        <v/>
      </c>
      <c r="W33" s="30">
        <f>IF($C33="","",vMaoObra*IF(bMaoObra="Por kg",$I33,1))</f>
        <v/>
      </c>
      <c r="X33" s="30">
        <f>IF($C33="","",vEnergia*IF(bEnergia="Por kg",$I33,1))</f>
        <v/>
      </c>
      <c r="Y33" s="30">
        <f>IF($C33="","",vFilme*IF(bFilme="Por kg",$I33,1)+vDesgaste*IF(bDesgaste="Por kg",$I33,1)+vLimpeza*IF(bLimpeza="Por kg",$I33,1))</f>
        <v/>
      </c>
      <c r="Z33" s="30">
        <f>IF($C33="","",U33+V33+W33+X33+Y33)</f>
        <v/>
      </c>
      <c r="AA33" s="30">
        <f>IF($C33="","",H33+Z33)</f>
        <v/>
      </c>
      <c r="AB33" s="30">
        <f>IF($C33="","",IFERROR(AA33/$I33,0))</f>
        <v/>
      </c>
      <c r="AC33" s="30">
        <f>IF($C33="","",$I33*O33)</f>
        <v/>
      </c>
      <c r="AD33" s="30">
        <f>IF($C33="","",AC33-H33)</f>
        <v/>
      </c>
      <c r="AE33" s="30">
        <f>IF($C33="","",AC33-AA33)</f>
        <v/>
      </c>
      <c r="AF33" s="32">
        <f>IF($C33="","",IFERROR(AE33/AC33,0))</f>
        <v/>
      </c>
      <c r="AG33" s="33">
        <f>IF($C33="","",IFERROR(O33/AB33,0))</f>
        <v/>
      </c>
      <c r="AH33" s="30">
        <f>IF($C33="","",AB33)</f>
        <v/>
      </c>
      <c r="AI33" s="30">
        <f>IF($C33="","",IFERROR(AB33/(1-IFERROR(INDEX(Prod_Margem,MATCH($C33,Prod_Nome,0)),0)),0))</f>
        <v/>
      </c>
      <c r="AJ33" s="29">
        <f>IF($C33="","",IFERROR(INDEX(Prod_Categoria,MATCH($C33,Prod_Nome,0)),""))</f>
        <v/>
      </c>
      <c r="AK33" s="29">
        <f>IF($C33="","",IFERROR(INDEX(Prod_Fornecedor,MATCH($C33,Prod_Nome,0)),""))</f>
        <v/>
      </c>
      <c r="AL33" s="34">
        <f>IF($A33="","",DATE(YEAR($A33),MONTH($A33),1))</f>
        <v/>
      </c>
    </row>
    <row r="34">
      <c r="A34" s="35" t="n"/>
      <c r="B34" s="17" t="n"/>
      <c r="C34" s="17" t="n"/>
      <c r="D34" s="29">
        <f>IF($C34="","",IFERROR(INDEX(Prod_Marca,MATCH($C34,Prod_Nome,0)),""))</f>
        <v/>
      </c>
      <c r="E34" s="16" t="n"/>
      <c r="F34" s="18" t="n"/>
      <c r="G34" s="19" t="n"/>
      <c r="H34" s="30">
        <f>IF($C34="","",$F34*$G34)</f>
        <v/>
      </c>
      <c r="I34" s="18" t="n"/>
      <c r="J34" s="18" t="n"/>
      <c r="K34" s="18" t="n"/>
      <c r="L34" s="18" t="n"/>
      <c r="M34" s="18" t="n"/>
      <c r="N34" s="17" t="n"/>
      <c r="O34" s="30">
        <f>IF($C34="","",IFERROR(INDEX(Prod_PrecoVenda,MATCH($C34,Prod_Nome,0)),0))</f>
        <v/>
      </c>
      <c r="P34" s="17" t="n"/>
      <c r="Q34" s="31">
        <f>IF($C34="","",$J34+$K34+$L34)</f>
        <v/>
      </c>
      <c r="R34" s="32">
        <f>IF($C34="","",IFERROR((Q34)/$F34,0))</f>
        <v/>
      </c>
      <c r="S34" s="30">
        <f>IF($C34="","",(Q34)*$G34)</f>
        <v/>
      </c>
      <c r="T34" s="30">
        <f>IF($C34="","",(Q34)*$G34)</f>
        <v/>
      </c>
      <c r="U34" s="30">
        <f>IF($C34="","",vEmbalagem*IF(bEmbalagem="Por kg",$I34,1))</f>
        <v/>
      </c>
      <c r="V34" s="30">
        <f>IF($C34="","",vEtiqueta*IF(bEtiqueta="Por kg",$I34,1))</f>
        <v/>
      </c>
      <c r="W34" s="30">
        <f>IF($C34="","",vMaoObra*IF(bMaoObra="Por kg",$I34,1))</f>
        <v/>
      </c>
      <c r="X34" s="30">
        <f>IF($C34="","",vEnergia*IF(bEnergia="Por kg",$I34,1))</f>
        <v/>
      </c>
      <c r="Y34" s="30">
        <f>IF($C34="","",vFilme*IF(bFilme="Por kg",$I34,1)+vDesgaste*IF(bDesgaste="Por kg",$I34,1)+vLimpeza*IF(bLimpeza="Por kg",$I34,1))</f>
        <v/>
      </c>
      <c r="Z34" s="30">
        <f>IF($C34="","",U34+V34+W34+X34+Y34)</f>
        <v/>
      </c>
      <c r="AA34" s="30">
        <f>IF($C34="","",H34+Z34)</f>
        <v/>
      </c>
      <c r="AB34" s="30">
        <f>IF($C34="","",IFERROR(AA34/$I34,0))</f>
        <v/>
      </c>
      <c r="AC34" s="30">
        <f>IF($C34="","",$I34*O34)</f>
        <v/>
      </c>
      <c r="AD34" s="30">
        <f>IF($C34="","",AC34-H34)</f>
        <v/>
      </c>
      <c r="AE34" s="30">
        <f>IF($C34="","",AC34-AA34)</f>
        <v/>
      </c>
      <c r="AF34" s="32">
        <f>IF($C34="","",IFERROR(AE34/AC34,0))</f>
        <v/>
      </c>
      <c r="AG34" s="33">
        <f>IF($C34="","",IFERROR(O34/AB34,0))</f>
        <v/>
      </c>
      <c r="AH34" s="30">
        <f>IF($C34="","",AB34)</f>
        <v/>
      </c>
      <c r="AI34" s="30">
        <f>IF($C34="","",IFERROR(AB34/(1-IFERROR(INDEX(Prod_Margem,MATCH($C34,Prod_Nome,0)),0)),0))</f>
        <v/>
      </c>
      <c r="AJ34" s="29">
        <f>IF($C34="","",IFERROR(INDEX(Prod_Categoria,MATCH($C34,Prod_Nome,0)),""))</f>
        <v/>
      </c>
      <c r="AK34" s="29">
        <f>IF($C34="","",IFERROR(INDEX(Prod_Fornecedor,MATCH($C34,Prod_Nome,0)),""))</f>
        <v/>
      </c>
      <c r="AL34" s="34">
        <f>IF($A34="","",DATE(YEAR($A34),MONTH($A34),1))</f>
        <v/>
      </c>
    </row>
    <row r="35">
      <c r="A35" s="28" t="n"/>
      <c r="B35" s="12" t="n"/>
      <c r="C35" s="12" t="n"/>
      <c r="D35" s="29">
        <f>IF($C35="","",IFERROR(INDEX(Prod_Marca,MATCH($C35,Prod_Nome,0)),""))</f>
        <v/>
      </c>
      <c r="E35" s="11" t="n"/>
      <c r="F35" s="13" t="n"/>
      <c r="G35" s="14" t="n"/>
      <c r="H35" s="30">
        <f>IF($C35="","",$F35*$G35)</f>
        <v/>
      </c>
      <c r="I35" s="13" t="n"/>
      <c r="J35" s="13" t="n"/>
      <c r="K35" s="13" t="n"/>
      <c r="L35" s="13" t="n"/>
      <c r="M35" s="13" t="n"/>
      <c r="N35" s="12" t="n"/>
      <c r="O35" s="30">
        <f>IF($C35="","",IFERROR(INDEX(Prod_PrecoVenda,MATCH($C35,Prod_Nome,0)),0))</f>
        <v/>
      </c>
      <c r="P35" s="12" t="n"/>
      <c r="Q35" s="31">
        <f>IF($C35="","",$J35+$K35+$L35)</f>
        <v/>
      </c>
      <c r="R35" s="32">
        <f>IF($C35="","",IFERROR((Q35)/$F35,0))</f>
        <v/>
      </c>
      <c r="S35" s="30">
        <f>IF($C35="","",(Q35)*$G35)</f>
        <v/>
      </c>
      <c r="T35" s="30">
        <f>IF($C35="","",(Q35)*$G35)</f>
        <v/>
      </c>
      <c r="U35" s="30">
        <f>IF($C35="","",vEmbalagem*IF(bEmbalagem="Por kg",$I35,1))</f>
        <v/>
      </c>
      <c r="V35" s="30">
        <f>IF($C35="","",vEtiqueta*IF(bEtiqueta="Por kg",$I35,1))</f>
        <v/>
      </c>
      <c r="W35" s="30">
        <f>IF($C35="","",vMaoObra*IF(bMaoObra="Por kg",$I35,1))</f>
        <v/>
      </c>
      <c r="X35" s="30">
        <f>IF($C35="","",vEnergia*IF(bEnergia="Por kg",$I35,1))</f>
        <v/>
      </c>
      <c r="Y35" s="30">
        <f>IF($C35="","",vFilme*IF(bFilme="Por kg",$I35,1)+vDesgaste*IF(bDesgaste="Por kg",$I35,1)+vLimpeza*IF(bLimpeza="Por kg",$I35,1))</f>
        <v/>
      </c>
      <c r="Z35" s="30">
        <f>IF($C35="","",U35+V35+W35+X35+Y35)</f>
        <v/>
      </c>
      <c r="AA35" s="30">
        <f>IF($C35="","",H35+Z35)</f>
        <v/>
      </c>
      <c r="AB35" s="30">
        <f>IF($C35="","",IFERROR(AA35/$I35,0))</f>
        <v/>
      </c>
      <c r="AC35" s="30">
        <f>IF($C35="","",$I35*O35)</f>
        <v/>
      </c>
      <c r="AD35" s="30">
        <f>IF($C35="","",AC35-H35)</f>
        <v/>
      </c>
      <c r="AE35" s="30">
        <f>IF($C35="","",AC35-AA35)</f>
        <v/>
      </c>
      <c r="AF35" s="32">
        <f>IF($C35="","",IFERROR(AE35/AC35,0))</f>
        <v/>
      </c>
      <c r="AG35" s="33">
        <f>IF($C35="","",IFERROR(O35/AB35,0))</f>
        <v/>
      </c>
      <c r="AH35" s="30">
        <f>IF($C35="","",AB35)</f>
        <v/>
      </c>
      <c r="AI35" s="30">
        <f>IF($C35="","",IFERROR(AB35/(1-IFERROR(INDEX(Prod_Margem,MATCH($C35,Prod_Nome,0)),0)),0))</f>
        <v/>
      </c>
      <c r="AJ35" s="29">
        <f>IF($C35="","",IFERROR(INDEX(Prod_Categoria,MATCH($C35,Prod_Nome,0)),""))</f>
        <v/>
      </c>
      <c r="AK35" s="29">
        <f>IF($C35="","",IFERROR(INDEX(Prod_Fornecedor,MATCH($C35,Prod_Nome,0)),""))</f>
        <v/>
      </c>
      <c r="AL35" s="34">
        <f>IF($A35="","",DATE(YEAR($A35),MONTH($A35),1))</f>
        <v/>
      </c>
    </row>
    <row r="36">
      <c r="A36" s="35" t="n"/>
      <c r="B36" s="17" t="n"/>
      <c r="C36" s="17" t="n"/>
      <c r="D36" s="29">
        <f>IF($C36="","",IFERROR(INDEX(Prod_Marca,MATCH($C36,Prod_Nome,0)),""))</f>
        <v/>
      </c>
      <c r="E36" s="16" t="n"/>
      <c r="F36" s="18" t="n"/>
      <c r="G36" s="19" t="n"/>
      <c r="H36" s="30">
        <f>IF($C36="","",$F36*$G36)</f>
        <v/>
      </c>
      <c r="I36" s="18" t="n"/>
      <c r="J36" s="18" t="n"/>
      <c r="K36" s="18" t="n"/>
      <c r="L36" s="18" t="n"/>
      <c r="M36" s="18" t="n"/>
      <c r="N36" s="17" t="n"/>
      <c r="O36" s="30">
        <f>IF($C36="","",IFERROR(INDEX(Prod_PrecoVenda,MATCH($C36,Prod_Nome,0)),0))</f>
        <v/>
      </c>
      <c r="P36" s="17" t="n"/>
      <c r="Q36" s="31">
        <f>IF($C36="","",$J36+$K36+$L36)</f>
        <v/>
      </c>
      <c r="R36" s="32">
        <f>IF($C36="","",IFERROR((Q36)/$F36,0))</f>
        <v/>
      </c>
      <c r="S36" s="30">
        <f>IF($C36="","",(Q36)*$G36)</f>
        <v/>
      </c>
      <c r="T36" s="30">
        <f>IF($C36="","",(Q36)*$G36)</f>
        <v/>
      </c>
      <c r="U36" s="30">
        <f>IF($C36="","",vEmbalagem*IF(bEmbalagem="Por kg",$I36,1))</f>
        <v/>
      </c>
      <c r="V36" s="30">
        <f>IF($C36="","",vEtiqueta*IF(bEtiqueta="Por kg",$I36,1))</f>
        <v/>
      </c>
      <c r="W36" s="30">
        <f>IF($C36="","",vMaoObra*IF(bMaoObra="Por kg",$I36,1))</f>
        <v/>
      </c>
      <c r="X36" s="30">
        <f>IF($C36="","",vEnergia*IF(bEnergia="Por kg",$I36,1))</f>
        <v/>
      </c>
      <c r="Y36" s="30">
        <f>IF($C36="","",vFilme*IF(bFilme="Por kg",$I36,1)+vDesgaste*IF(bDesgaste="Por kg",$I36,1)+vLimpeza*IF(bLimpeza="Por kg",$I36,1))</f>
        <v/>
      </c>
      <c r="Z36" s="30">
        <f>IF($C36="","",U36+V36+W36+X36+Y36)</f>
        <v/>
      </c>
      <c r="AA36" s="30">
        <f>IF($C36="","",H36+Z36)</f>
        <v/>
      </c>
      <c r="AB36" s="30">
        <f>IF($C36="","",IFERROR(AA36/$I36,0))</f>
        <v/>
      </c>
      <c r="AC36" s="30">
        <f>IF($C36="","",$I36*O36)</f>
        <v/>
      </c>
      <c r="AD36" s="30">
        <f>IF($C36="","",AC36-H36)</f>
        <v/>
      </c>
      <c r="AE36" s="30">
        <f>IF($C36="","",AC36-AA36)</f>
        <v/>
      </c>
      <c r="AF36" s="32">
        <f>IF($C36="","",IFERROR(AE36/AC36,0))</f>
        <v/>
      </c>
      <c r="AG36" s="33">
        <f>IF($C36="","",IFERROR(O36/AB36,0))</f>
        <v/>
      </c>
      <c r="AH36" s="30">
        <f>IF($C36="","",AB36)</f>
        <v/>
      </c>
      <c r="AI36" s="30">
        <f>IF($C36="","",IFERROR(AB36/(1-IFERROR(INDEX(Prod_Margem,MATCH($C36,Prod_Nome,0)),0)),0))</f>
        <v/>
      </c>
      <c r="AJ36" s="29">
        <f>IF($C36="","",IFERROR(INDEX(Prod_Categoria,MATCH($C36,Prod_Nome,0)),""))</f>
        <v/>
      </c>
      <c r="AK36" s="29">
        <f>IF($C36="","",IFERROR(INDEX(Prod_Fornecedor,MATCH($C36,Prod_Nome,0)),""))</f>
        <v/>
      </c>
      <c r="AL36" s="34">
        <f>IF($A36="","",DATE(YEAR($A36),MONTH($A36),1))</f>
        <v/>
      </c>
    </row>
    <row r="37">
      <c r="A37" s="28" t="n"/>
      <c r="B37" s="12" t="n"/>
      <c r="C37" s="12" t="n"/>
      <c r="D37" s="29">
        <f>IF($C37="","",IFERROR(INDEX(Prod_Marca,MATCH($C37,Prod_Nome,0)),""))</f>
        <v/>
      </c>
      <c r="E37" s="11" t="n"/>
      <c r="F37" s="13" t="n"/>
      <c r="G37" s="14" t="n"/>
      <c r="H37" s="30">
        <f>IF($C37="","",$F37*$G37)</f>
        <v/>
      </c>
      <c r="I37" s="13" t="n"/>
      <c r="J37" s="13" t="n"/>
      <c r="K37" s="13" t="n"/>
      <c r="L37" s="13" t="n"/>
      <c r="M37" s="13" t="n"/>
      <c r="N37" s="12" t="n"/>
      <c r="O37" s="30">
        <f>IF($C37="","",IFERROR(INDEX(Prod_PrecoVenda,MATCH($C37,Prod_Nome,0)),0))</f>
        <v/>
      </c>
      <c r="P37" s="12" t="n"/>
      <c r="Q37" s="31">
        <f>IF($C37="","",$J37+$K37+$L37)</f>
        <v/>
      </c>
      <c r="R37" s="32">
        <f>IF($C37="","",IFERROR((Q37)/$F37,0))</f>
        <v/>
      </c>
      <c r="S37" s="30">
        <f>IF($C37="","",(Q37)*$G37)</f>
        <v/>
      </c>
      <c r="T37" s="30">
        <f>IF($C37="","",(Q37)*$G37)</f>
        <v/>
      </c>
      <c r="U37" s="30">
        <f>IF($C37="","",vEmbalagem*IF(bEmbalagem="Por kg",$I37,1))</f>
        <v/>
      </c>
      <c r="V37" s="30">
        <f>IF($C37="","",vEtiqueta*IF(bEtiqueta="Por kg",$I37,1))</f>
        <v/>
      </c>
      <c r="W37" s="30">
        <f>IF($C37="","",vMaoObra*IF(bMaoObra="Por kg",$I37,1))</f>
        <v/>
      </c>
      <c r="X37" s="30">
        <f>IF($C37="","",vEnergia*IF(bEnergia="Por kg",$I37,1))</f>
        <v/>
      </c>
      <c r="Y37" s="30">
        <f>IF($C37="","",vFilme*IF(bFilme="Por kg",$I37,1)+vDesgaste*IF(bDesgaste="Por kg",$I37,1)+vLimpeza*IF(bLimpeza="Por kg",$I37,1))</f>
        <v/>
      </c>
      <c r="Z37" s="30">
        <f>IF($C37="","",U37+V37+W37+X37+Y37)</f>
        <v/>
      </c>
      <c r="AA37" s="30">
        <f>IF($C37="","",H37+Z37)</f>
        <v/>
      </c>
      <c r="AB37" s="30">
        <f>IF($C37="","",IFERROR(AA37/$I37,0))</f>
        <v/>
      </c>
      <c r="AC37" s="30">
        <f>IF($C37="","",$I37*O37)</f>
        <v/>
      </c>
      <c r="AD37" s="30">
        <f>IF($C37="","",AC37-H37)</f>
        <v/>
      </c>
      <c r="AE37" s="30">
        <f>IF($C37="","",AC37-AA37)</f>
        <v/>
      </c>
      <c r="AF37" s="32">
        <f>IF($C37="","",IFERROR(AE37/AC37,0))</f>
        <v/>
      </c>
      <c r="AG37" s="33">
        <f>IF($C37="","",IFERROR(O37/AB37,0))</f>
        <v/>
      </c>
      <c r="AH37" s="30">
        <f>IF($C37="","",AB37)</f>
        <v/>
      </c>
      <c r="AI37" s="30">
        <f>IF($C37="","",IFERROR(AB37/(1-IFERROR(INDEX(Prod_Margem,MATCH($C37,Prod_Nome,0)),0)),0))</f>
        <v/>
      </c>
      <c r="AJ37" s="29">
        <f>IF($C37="","",IFERROR(INDEX(Prod_Categoria,MATCH($C37,Prod_Nome,0)),""))</f>
        <v/>
      </c>
      <c r="AK37" s="29">
        <f>IF($C37="","",IFERROR(INDEX(Prod_Fornecedor,MATCH($C37,Prod_Nome,0)),""))</f>
        <v/>
      </c>
      <c r="AL37" s="34">
        <f>IF($A37="","",DATE(YEAR($A37),MONTH($A37),1))</f>
        <v/>
      </c>
    </row>
    <row r="38">
      <c r="A38" s="35" t="n"/>
      <c r="B38" s="17" t="n"/>
      <c r="C38" s="17" t="n"/>
      <c r="D38" s="29">
        <f>IF($C38="","",IFERROR(INDEX(Prod_Marca,MATCH($C38,Prod_Nome,0)),""))</f>
        <v/>
      </c>
      <c r="E38" s="16" t="n"/>
      <c r="F38" s="18" t="n"/>
      <c r="G38" s="19" t="n"/>
      <c r="H38" s="30">
        <f>IF($C38="","",$F38*$G38)</f>
        <v/>
      </c>
      <c r="I38" s="18" t="n"/>
      <c r="J38" s="18" t="n"/>
      <c r="K38" s="18" t="n"/>
      <c r="L38" s="18" t="n"/>
      <c r="M38" s="18" t="n"/>
      <c r="N38" s="17" t="n"/>
      <c r="O38" s="30">
        <f>IF($C38="","",IFERROR(INDEX(Prod_PrecoVenda,MATCH($C38,Prod_Nome,0)),0))</f>
        <v/>
      </c>
      <c r="P38" s="17" t="n"/>
      <c r="Q38" s="31">
        <f>IF($C38="","",$J38+$K38+$L38)</f>
        <v/>
      </c>
      <c r="R38" s="32">
        <f>IF($C38="","",IFERROR((Q38)/$F38,0))</f>
        <v/>
      </c>
      <c r="S38" s="30">
        <f>IF($C38="","",(Q38)*$G38)</f>
        <v/>
      </c>
      <c r="T38" s="30">
        <f>IF($C38="","",(Q38)*$G38)</f>
        <v/>
      </c>
      <c r="U38" s="30">
        <f>IF($C38="","",vEmbalagem*IF(bEmbalagem="Por kg",$I38,1))</f>
        <v/>
      </c>
      <c r="V38" s="30">
        <f>IF($C38="","",vEtiqueta*IF(bEtiqueta="Por kg",$I38,1))</f>
        <v/>
      </c>
      <c r="W38" s="30">
        <f>IF($C38="","",vMaoObra*IF(bMaoObra="Por kg",$I38,1))</f>
        <v/>
      </c>
      <c r="X38" s="30">
        <f>IF($C38="","",vEnergia*IF(bEnergia="Por kg",$I38,1))</f>
        <v/>
      </c>
      <c r="Y38" s="30">
        <f>IF($C38="","",vFilme*IF(bFilme="Por kg",$I38,1)+vDesgaste*IF(bDesgaste="Por kg",$I38,1)+vLimpeza*IF(bLimpeza="Por kg",$I38,1))</f>
        <v/>
      </c>
      <c r="Z38" s="30">
        <f>IF($C38="","",U38+V38+W38+X38+Y38)</f>
        <v/>
      </c>
      <c r="AA38" s="30">
        <f>IF($C38="","",H38+Z38)</f>
        <v/>
      </c>
      <c r="AB38" s="30">
        <f>IF($C38="","",IFERROR(AA38/$I38,0))</f>
        <v/>
      </c>
      <c r="AC38" s="30">
        <f>IF($C38="","",$I38*O38)</f>
        <v/>
      </c>
      <c r="AD38" s="30">
        <f>IF($C38="","",AC38-H38)</f>
        <v/>
      </c>
      <c r="AE38" s="30">
        <f>IF($C38="","",AC38-AA38)</f>
        <v/>
      </c>
      <c r="AF38" s="32">
        <f>IF($C38="","",IFERROR(AE38/AC38,0))</f>
        <v/>
      </c>
      <c r="AG38" s="33">
        <f>IF($C38="","",IFERROR(O38/AB38,0))</f>
        <v/>
      </c>
      <c r="AH38" s="30">
        <f>IF($C38="","",AB38)</f>
        <v/>
      </c>
      <c r="AI38" s="30">
        <f>IF($C38="","",IFERROR(AB38/(1-IFERROR(INDEX(Prod_Margem,MATCH($C38,Prod_Nome,0)),0)),0))</f>
        <v/>
      </c>
      <c r="AJ38" s="29">
        <f>IF($C38="","",IFERROR(INDEX(Prod_Categoria,MATCH($C38,Prod_Nome,0)),""))</f>
        <v/>
      </c>
      <c r="AK38" s="29">
        <f>IF($C38="","",IFERROR(INDEX(Prod_Fornecedor,MATCH($C38,Prod_Nome,0)),""))</f>
        <v/>
      </c>
      <c r="AL38" s="34">
        <f>IF($A38="","",DATE(YEAR($A38),MONTH($A38),1))</f>
        <v/>
      </c>
    </row>
    <row r="39">
      <c r="A39" s="28" t="n"/>
      <c r="B39" s="12" t="n"/>
      <c r="C39" s="12" t="n"/>
      <c r="D39" s="29">
        <f>IF($C39="","",IFERROR(INDEX(Prod_Marca,MATCH($C39,Prod_Nome,0)),""))</f>
        <v/>
      </c>
      <c r="E39" s="11" t="n"/>
      <c r="F39" s="13" t="n"/>
      <c r="G39" s="14" t="n"/>
      <c r="H39" s="30">
        <f>IF($C39="","",$F39*$G39)</f>
        <v/>
      </c>
      <c r="I39" s="13" t="n"/>
      <c r="J39" s="13" t="n"/>
      <c r="K39" s="13" t="n"/>
      <c r="L39" s="13" t="n"/>
      <c r="M39" s="13" t="n"/>
      <c r="N39" s="12" t="n"/>
      <c r="O39" s="30">
        <f>IF($C39="","",IFERROR(INDEX(Prod_PrecoVenda,MATCH($C39,Prod_Nome,0)),0))</f>
        <v/>
      </c>
      <c r="P39" s="12" t="n"/>
      <c r="Q39" s="31">
        <f>IF($C39="","",$J39+$K39+$L39)</f>
        <v/>
      </c>
      <c r="R39" s="32">
        <f>IF($C39="","",IFERROR((Q39)/$F39,0))</f>
        <v/>
      </c>
      <c r="S39" s="30">
        <f>IF($C39="","",(Q39)*$G39)</f>
        <v/>
      </c>
      <c r="T39" s="30">
        <f>IF($C39="","",(Q39)*$G39)</f>
        <v/>
      </c>
      <c r="U39" s="30">
        <f>IF($C39="","",vEmbalagem*IF(bEmbalagem="Por kg",$I39,1))</f>
        <v/>
      </c>
      <c r="V39" s="30">
        <f>IF($C39="","",vEtiqueta*IF(bEtiqueta="Por kg",$I39,1))</f>
        <v/>
      </c>
      <c r="W39" s="30">
        <f>IF($C39="","",vMaoObra*IF(bMaoObra="Por kg",$I39,1))</f>
        <v/>
      </c>
      <c r="X39" s="30">
        <f>IF($C39="","",vEnergia*IF(bEnergia="Por kg",$I39,1))</f>
        <v/>
      </c>
      <c r="Y39" s="30">
        <f>IF($C39="","",vFilme*IF(bFilme="Por kg",$I39,1)+vDesgaste*IF(bDesgaste="Por kg",$I39,1)+vLimpeza*IF(bLimpeza="Por kg",$I39,1))</f>
        <v/>
      </c>
      <c r="Z39" s="30">
        <f>IF($C39="","",U39+V39+W39+X39+Y39)</f>
        <v/>
      </c>
      <c r="AA39" s="30">
        <f>IF($C39="","",H39+Z39)</f>
        <v/>
      </c>
      <c r="AB39" s="30">
        <f>IF($C39="","",IFERROR(AA39/$I39,0))</f>
        <v/>
      </c>
      <c r="AC39" s="30">
        <f>IF($C39="","",$I39*O39)</f>
        <v/>
      </c>
      <c r="AD39" s="30">
        <f>IF($C39="","",AC39-H39)</f>
        <v/>
      </c>
      <c r="AE39" s="30">
        <f>IF($C39="","",AC39-AA39)</f>
        <v/>
      </c>
      <c r="AF39" s="32">
        <f>IF($C39="","",IFERROR(AE39/AC39,0))</f>
        <v/>
      </c>
      <c r="AG39" s="33">
        <f>IF($C39="","",IFERROR(O39/AB39,0))</f>
        <v/>
      </c>
      <c r="AH39" s="30">
        <f>IF($C39="","",AB39)</f>
        <v/>
      </c>
      <c r="AI39" s="30">
        <f>IF($C39="","",IFERROR(AB39/(1-IFERROR(INDEX(Prod_Margem,MATCH($C39,Prod_Nome,0)),0)),0))</f>
        <v/>
      </c>
      <c r="AJ39" s="29">
        <f>IF($C39="","",IFERROR(INDEX(Prod_Categoria,MATCH($C39,Prod_Nome,0)),""))</f>
        <v/>
      </c>
      <c r="AK39" s="29">
        <f>IF($C39="","",IFERROR(INDEX(Prod_Fornecedor,MATCH($C39,Prod_Nome,0)),""))</f>
        <v/>
      </c>
      <c r="AL39" s="34">
        <f>IF($A39="","",DATE(YEAR($A39),MONTH($A39),1))</f>
        <v/>
      </c>
    </row>
    <row r="40">
      <c r="A40" s="35" t="n"/>
      <c r="B40" s="17" t="n"/>
      <c r="C40" s="17" t="n"/>
      <c r="D40" s="29">
        <f>IF($C40="","",IFERROR(INDEX(Prod_Marca,MATCH($C40,Prod_Nome,0)),""))</f>
        <v/>
      </c>
      <c r="E40" s="16" t="n"/>
      <c r="F40" s="18" t="n"/>
      <c r="G40" s="19" t="n"/>
      <c r="H40" s="30">
        <f>IF($C40="","",$F40*$G40)</f>
        <v/>
      </c>
      <c r="I40" s="18" t="n"/>
      <c r="J40" s="18" t="n"/>
      <c r="K40" s="18" t="n"/>
      <c r="L40" s="18" t="n"/>
      <c r="M40" s="18" t="n"/>
      <c r="N40" s="17" t="n"/>
      <c r="O40" s="30">
        <f>IF($C40="","",IFERROR(INDEX(Prod_PrecoVenda,MATCH($C40,Prod_Nome,0)),0))</f>
        <v/>
      </c>
      <c r="P40" s="17" t="n"/>
      <c r="Q40" s="31">
        <f>IF($C40="","",$J40+$K40+$L40)</f>
        <v/>
      </c>
      <c r="R40" s="32">
        <f>IF($C40="","",IFERROR((Q40)/$F40,0))</f>
        <v/>
      </c>
      <c r="S40" s="30">
        <f>IF($C40="","",(Q40)*$G40)</f>
        <v/>
      </c>
      <c r="T40" s="30">
        <f>IF($C40="","",(Q40)*$G40)</f>
        <v/>
      </c>
      <c r="U40" s="30">
        <f>IF($C40="","",vEmbalagem*IF(bEmbalagem="Por kg",$I40,1))</f>
        <v/>
      </c>
      <c r="V40" s="30">
        <f>IF($C40="","",vEtiqueta*IF(bEtiqueta="Por kg",$I40,1))</f>
        <v/>
      </c>
      <c r="W40" s="30">
        <f>IF($C40="","",vMaoObra*IF(bMaoObra="Por kg",$I40,1))</f>
        <v/>
      </c>
      <c r="X40" s="30">
        <f>IF($C40="","",vEnergia*IF(bEnergia="Por kg",$I40,1))</f>
        <v/>
      </c>
      <c r="Y40" s="30">
        <f>IF($C40="","",vFilme*IF(bFilme="Por kg",$I40,1)+vDesgaste*IF(bDesgaste="Por kg",$I40,1)+vLimpeza*IF(bLimpeza="Por kg",$I40,1))</f>
        <v/>
      </c>
      <c r="Z40" s="30">
        <f>IF($C40="","",U40+V40+W40+X40+Y40)</f>
        <v/>
      </c>
      <c r="AA40" s="30">
        <f>IF($C40="","",H40+Z40)</f>
        <v/>
      </c>
      <c r="AB40" s="30">
        <f>IF($C40="","",IFERROR(AA40/$I40,0))</f>
        <v/>
      </c>
      <c r="AC40" s="30">
        <f>IF($C40="","",$I40*O40)</f>
        <v/>
      </c>
      <c r="AD40" s="30">
        <f>IF($C40="","",AC40-H40)</f>
        <v/>
      </c>
      <c r="AE40" s="30">
        <f>IF($C40="","",AC40-AA40)</f>
        <v/>
      </c>
      <c r="AF40" s="32">
        <f>IF($C40="","",IFERROR(AE40/AC40,0))</f>
        <v/>
      </c>
      <c r="AG40" s="33">
        <f>IF($C40="","",IFERROR(O40/AB40,0))</f>
        <v/>
      </c>
      <c r="AH40" s="30">
        <f>IF($C40="","",AB40)</f>
        <v/>
      </c>
      <c r="AI40" s="30">
        <f>IF($C40="","",IFERROR(AB40/(1-IFERROR(INDEX(Prod_Margem,MATCH($C40,Prod_Nome,0)),0)),0))</f>
        <v/>
      </c>
      <c r="AJ40" s="29">
        <f>IF($C40="","",IFERROR(INDEX(Prod_Categoria,MATCH($C40,Prod_Nome,0)),""))</f>
        <v/>
      </c>
      <c r="AK40" s="29">
        <f>IF($C40="","",IFERROR(INDEX(Prod_Fornecedor,MATCH($C40,Prod_Nome,0)),""))</f>
        <v/>
      </c>
      <c r="AL40" s="34">
        <f>IF($A40="","",DATE(YEAR($A40),MONTH($A40),1))</f>
        <v/>
      </c>
    </row>
    <row r="41">
      <c r="A41" s="28" t="n"/>
      <c r="B41" s="12" t="n"/>
      <c r="C41" s="12" t="n"/>
      <c r="D41" s="29">
        <f>IF($C41="","",IFERROR(INDEX(Prod_Marca,MATCH($C41,Prod_Nome,0)),""))</f>
        <v/>
      </c>
      <c r="E41" s="11" t="n"/>
      <c r="F41" s="13" t="n"/>
      <c r="G41" s="14" t="n"/>
      <c r="H41" s="30">
        <f>IF($C41="","",$F41*$G41)</f>
        <v/>
      </c>
      <c r="I41" s="13" t="n"/>
      <c r="J41" s="13" t="n"/>
      <c r="K41" s="13" t="n"/>
      <c r="L41" s="13" t="n"/>
      <c r="M41" s="13" t="n"/>
      <c r="N41" s="12" t="n"/>
      <c r="O41" s="30">
        <f>IF($C41="","",IFERROR(INDEX(Prod_PrecoVenda,MATCH($C41,Prod_Nome,0)),0))</f>
        <v/>
      </c>
      <c r="P41" s="12" t="n"/>
      <c r="Q41" s="31">
        <f>IF($C41="","",$J41+$K41+$L41)</f>
        <v/>
      </c>
      <c r="R41" s="32">
        <f>IF($C41="","",IFERROR((Q41)/$F41,0))</f>
        <v/>
      </c>
      <c r="S41" s="30">
        <f>IF($C41="","",(Q41)*$G41)</f>
        <v/>
      </c>
      <c r="T41" s="30">
        <f>IF($C41="","",(Q41)*$G41)</f>
        <v/>
      </c>
      <c r="U41" s="30">
        <f>IF($C41="","",vEmbalagem*IF(bEmbalagem="Por kg",$I41,1))</f>
        <v/>
      </c>
      <c r="V41" s="30">
        <f>IF($C41="","",vEtiqueta*IF(bEtiqueta="Por kg",$I41,1))</f>
        <v/>
      </c>
      <c r="W41" s="30">
        <f>IF($C41="","",vMaoObra*IF(bMaoObra="Por kg",$I41,1))</f>
        <v/>
      </c>
      <c r="X41" s="30">
        <f>IF($C41="","",vEnergia*IF(bEnergia="Por kg",$I41,1))</f>
        <v/>
      </c>
      <c r="Y41" s="30">
        <f>IF($C41="","",vFilme*IF(bFilme="Por kg",$I41,1)+vDesgaste*IF(bDesgaste="Por kg",$I41,1)+vLimpeza*IF(bLimpeza="Por kg",$I41,1))</f>
        <v/>
      </c>
      <c r="Z41" s="30">
        <f>IF($C41="","",U41+V41+W41+X41+Y41)</f>
        <v/>
      </c>
      <c r="AA41" s="30">
        <f>IF($C41="","",H41+Z41)</f>
        <v/>
      </c>
      <c r="AB41" s="30">
        <f>IF($C41="","",IFERROR(AA41/$I41,0))</f>
        <v/>
      </c>
      <c r="AC41" s="30">
        <f>IF($C41="","",$I41*O41)</f>
        <v/>
      </c>
      <c r="AD41" s="30">
        <f>IF($C41="","",AC41-H41)</f>
        <v/>
      </c>
      <c r="AE41" s="30">
        <f>IF($C41="","",AC41-AA41)</f>
        <v/>
      </c>
      <c r="AF41" s="32">
        <f>IF($C41="","",IFERROR(AE41/AC41,0))</f>
        <v/>
      </c>
      <c r="AG41" s="33">
        <f>IF($C41="","",IFERROR(O41/AB41,0))</f>
        <v/>
      </c>
      <c r="AH41" s="30">
        <f>IF($C41="","",AB41)</f>
        <v/>
      </c>
      <c r="AI41" s="30">
        <f>IF($C41="","",IFERROR(AB41/(1-IFERROR(INDEX(Prod_Margem,MATCH($C41,Prod_Nome,0)),0)),0))</f>
        <v/>
      </c>
      <c r="AJ41" s="29">
        <f>IF($C41="","",IFERROR(INDEX(Prod_Categoria,MATCH($C41,Prod_Nome,0)),""))</f>
        <v/>
      </c>
      <c r="AK41" s="29">
        <f>IF($C41="","",IFERROR(INDEX(Prod_Fornecedor,MATCH($C41,Prod_Nome,0)),""))</f>
        <v/>
      </c>
      <c r="AL41" s="34">
        <f>IF($A41="","",DATE(YEAR($A41),MONTH($A41),1))</f>
        <v/>
      </c>
    </row>
    <row r="42">
      <c r="A42" s="35" t="n"/>
      <c r="B42" s="17" t="n"/>
      <c r="C42" s="17" t="n"/>
      <c r="D42" s="29">
        <f>IF($C42="","",IFERROR(INDEX(Prod_Marca,MATCH($C42,Prod_Nome,0)),""))</f>
        <v/>
      </c>
      <c r="E42" s="16" t="n"/>
      <c r="F42" s="18" t="n"/>
      <c r="G42" s="19" t="n"/>
      <c r="H42" s="30">
        <f>IF($C42="","",$F42*$G42)</f>
        <v/>
      </c>
      <c r="I42" s="18" t="n"/>
      <c r="J42" s="18" t="n"/>
      <c r="K42" s="18" t="n"/>
      <c r="L42" s="18" t="n"/>
      <c r="M42" s="18" t="n"/>
      <c r="N42" s="17" t="n"/>
      <c r="O42" s="30">
        <f>IF($C42="","",IFERROR(INDEX(Prod_PrecoVenda,MATCH($C42,Prod_Nome,0)),0))</f>
        <v/>
      </c>
      <c r="P42" s="17" t="n"/>
      <c r="Q42" s="31">
        <f>IF($C42="","",$J42+$K42+$L42)</f>
        <v/>
      </c>
      <c r="R42" s="32">
        <f>IF($C42="","",IFERROR((Q42)/$F42,0))</f>
        <v/>
      </c>
      <c r="S42" s="30">
        <f>IF($C42="","",(Q42)*$G42)</f>
        <v/>
      </c>
      <c r="T42" s="30">
        <f>IF($C42="","",(Q42)*$G42)</f>
        <v/>
      </c>
      <c r="U42" s="30">
        <f>IF($C42="","",vEmbalagem*IF(bEmbalagem="Por kg",$I42,1))</f>
        <v/>
      </c>
      <c r="V42" s="30">
        <f>IF($C42="","",vEtiqueta*IF(bEtiqueta="Por kg",$I42,1))</f>
        <v/>
      </c>
      <c r="W42" s="30">
        <f>IF($C42="","",vMaoObra*IF(bMaoObra="Por kg",$I42,1))</f>
        <v/>
      </c>
      <c r="X42" s="30">
        <f>IF($C42="","",vEnergia*IF(bEnergia="Por kg",$I42,1))</f>
        <v/>
      </c>
      <c r="Y42" s="30">
        <f>IF($C42="","",vFilme*IF(bFilme="Por kg",$I42,1)+vDesgaste*IF(bDesgaste="Por kg",$I42,1)+vLimpeza*IF(bLimpeza="Por kg",$I42,1))</f>
        <v/>
      </c>
      <c r="Z42" s="30">
        <f>IF($C42="","",U42+V42+W42+X42+Y42)</f>
        <v/>
      </c>
      <c r="AA42" s="30">
        <f>IF($C42="","",H42+Z42)</f>
        <v/>
      </c>
      <c r="AB42" s="30">
        <f>IF($C42="","",IFERROR(AA42/$I42,0))</f>
        <v/>
      </c>
      <c r="AC42" s="30">
        <f>IF($C42="","",$I42*O42)</f>
        <v/>
      </c>
      <c r="AD42" s="30">
        <f>IF($C42="","",AC42-H42)</f>
        <v/>
      </c>
      <c r="AE42" s="30">
        <f>IF($C42="","",AC42-AA42)</f>
        <v/>
      </c>
      <c r="AF42" s="32">
        <f>IF($C42="","",IFERROR(AE42/AC42,0))</f>
        <v/>
      </c>
      <c r="AG42" s="33">
        <f>IF($C42="","",IFERROR(O42/AB42,0))</f>
        <v/>
      </c>
      <c r="AH42" s="30">
        <f>IF($C42="","",AB42)</f>
        <v/>
      </c>
      <c r="AI42" s="30">
        <f>IF($C42="","",IFERROR(AB42/(1-IFERROR(INDEX(Prod_Margem,MATCH($C42,Prod_Nome,0)),0)),0))</f>
        <v/>
      </c>
      <c r="AJ42" s="29">
        <f>IF($C42="","",IFERROR(INDEX(Prod_Categoria,MATCH($C42,Prod_Nome,0)),""))</f>
        <v/>
      </c>
      <c r="AK42" s="29">
        <f>IF($C42="","",IFERROR(INDEX(Prod_Fornecedor,MATCH($C42,Prod_Nome,0)),""))</f>
        <v/>
      </c>
      <c r="AL42" s="34">
        <f>IF($A42="","",DATE(YEAR($A42),MONTH($A42),1))</f>
        <v/>
      </c>
    </row>
    <row r="43">
      <c r="A43" s="28" t="n"/>
      <c r="B43" s="12" t="n"/>
      <c r="C43" s="12" t="n"/>
      <c r="D43" s="29">
        <f>IF($C43="","",IFERROR(INDEX(Prod_Marca,MATCH($C43,Prod_Nome,0)),""))</f>
        <v/>
      </c>
      <c r="E43" s="11" t="n"/>
      <c r="F43" s="13" t="n"/>
      <c r="G43" s="14" t="n"/>
      <c r="H43" s="30">
        <f>IF($C43="","",$F43*$G43)</f>
        <v/>
      </c>
      <c r="I43" s="13" t="n"/>
      <c r="J43" s="13" t="n"/>
      <c r="K43" s="13" t="n"/>
      <c r="L43" s="13" t="n"/>
      <c r="M43" s="13" t="n"/>
      <c r="N43" s="12" t="n"/>
      <c r="O43" s="30">
        <f>IF($C43="","",IFERROR(INDEX(Prod_PrecoVenda,MATCH($C43,Prod_Nome,0)),0))</f>
        <v/>
      </c>
      <c r="P43" s="12" t="n"/>
      <c r="Q43" s="31">
        <f>IF($C43="","",$J43+$K43+$L43)</f>
        <v/>
      </c>
      <c r="R43" s="32">
        <f>IF($C43="","",IFERROR((Q43)/$F43,0))</f>
        <v/>
      </c>
      <c r="S43" s="30">
        <f>IF($C43="","",(Q43)*$G43)</f>
        <v/>
      </c>
      <c r="T43" s="30">
        <f>IF($C43="","",(Q43)*$G43)</f>
        <v/>
      </c>
      <c r="U43" s="30">
        <f>IF($C43="","",vEmbalagem*IF(bEmbalagem="Por kg",$I43,1))</f>
        <v/>
      </c>
      <c r="V43" s="30">
        <f>IF($C43="","",vEtiqueta*IF(bEtiqueta="Por kg",$I43,1))</f>
        <v/>
      </c>
      <c r="W43" s="30">
        <f>IF($C43="","",vMaoObra*IF(bMaoObra="Por kg",$I43,1))</f>
        <v/>
      </c>
      <c r="X43" s="30">
        <f>IF($C43="","",vEnergia*IF(bEnergia="Por kg",$I43,1))</f>
        <v/>
      </c>
      <c r="Y43" s="30">
        <f>IF($C43="","",vFilme*IF(bFilme="Por kg",$I43,1)+vDesgaste*IF(bDesgaste="Por kg",$I43,1)+vLimpeza*IF(bLimpeza="Por kg",$I43,1))</f>
        <v/>
      </c>
      <c r="Z43" s="30">
        <f>IF($C43="","",U43+V43+W43+X43+Y43)</f>
        <v/>
      </c>
      <c r="AA43" s="30">
        <f>IF($C43="","",H43+Z43)</f>
        <v/>
      </c>
      <c r="AB43" s="30">
        <f>IF($C43="","",IFERROR(AA43/$I43,0))</f>
        <v/>
      </c>
      <c r="AC43" s="30">
        <f>IF($C43="","",$I43*O43)</f>
        <v/>
      </c>
      <c r="AD43" s="30">
        <f>IF($C43="","",AC43-H43)</f>
        <v/>
      </c>
      <c r="AE43" s="30">
        <f>IF($C43="","",AC43-AA43)</f>
        <v/>
      </c>
      <c r="AF43" s="32">
        <f>IF($C43="","",IFERROR(AE43/AC43,0))</f>
        <v/>
      </c>
      <c r="AG43" s="33">
        <f>IF($C43="","",IFERROR(O43/AB43,0))</f>
        <v/>
      </c>
      <c r="AH43" s="30">
        <f>IF($C43="","",AB43)</f>
        <v/>
      </c>
      <c r="AI43" s="30">
        <f>IF($C43="","",IFERROR(AB43/(1-IFERROR(INDEX(Prod_Margem,MATCH($C43,Prod_Nome,0)),0)),0))</f>
        <v/>
      </c>
      <c r="AJ43" s="29">
        <f>IF($C43="","",IFERROR(INDEX(Prod_Categoria,MATCH($C43,Prod_Nome,0)),""))</f>
        <v/>
      </c>
      <c r="AK43" s="29">
        <f>IF($C43="","",IFERROR(INDEX(Prod_Fornecedor,MATCH($C43,Prod_Nome,0)),""))</f>
        <v/>
      </c>
      <c r="AL43" s="34">
        <f>IF($A43="","",DATE(YEAR($A43),MONTH($A43),1))</f>
        <v/>
      </c>
    </row>
    <row r="44">
      <c r="A44" s="35" t="n"/>
      <c r="B44" s="17" t="n"/>
      <c r="C44" s="17" t="n"/>
      <c r="D44" s="29">
        <f>IF($C44="","",IFERROR(INDEX(Prod_Marca,MATCH($C44,Prod_Nome,0)),""))</f>
        <v/>
      </c>
      <c r="E44" s="16" t="n"/>
      <c r="F44" s="18" t="n"/>
      <c r="G44" s="19" t="n"/>
      <c r="H44" s="30">
        <f>IF($C44="","",$F44*$G44)</f>
        <v/>
      </c>
      <c r="I44" s="18" t="n"/>
      <c r="J44" s="18" t="n"/>
      <c r="K44" s="18" t="n"/>
      <c r="L44" s="18" t="n"/>
      <c r="M44" s="18" t="n"/>
      <c r="N44" s="17" t="n"/>
      <c r="O44" s="30">
        <f>IF($C44="","",IFERROR(INDEX(Prod_PrecoVenda,MATCH($C44,Prod_Nome,0)),0))</f>
        <v/>
      </c>
      <c r="P44" s="17" t="n"/>
      <c r="Q44" s="31">
        <f>IF($C44="","",$J44+$K44+$L44)</f>
        <v/>
      </c>
      <c r="R44" s="32">
        <f>IF($C44="","",IFERROR((Q44)/$F44,0))</f>
        <v/>
      </c>
      <c r="S44" s="30">
        <f>IF($C44="","",(Q44)*$G44)</f>
        <v/>
      </c>
      <c r="T44" s="30">
        <f>IF($C44="","",(Q44)*$G44)</f>
        <v/>
      </c>
      <c r="U44" s="30">
        <f>IF($C44="","",vEmbalagem*IF(bEmbalagem="Por kg",$I44,1))</f>
        <v/>
      </c>
      <c r="V44" s="30">
        <f>IF($C44="","",vEtiqueta*IF(bEtiqueta="Por kg",$I44,1))</f>
        <v/>
      </c>
      <c r="W44" s="30">
        <f>IF($C44="","",vMaoObra*IF(bMaoObra="Por kg",$I44,1))</f>
        <v/>
      </c>
      <c r="X44" s="30">
        <f>IF($C44="","",vEnergia*IF(bEnergia="Por kg",$I44,1))</f>
        <v/>
      </c>
      <c r="Y44" s="30">
        <f>IF($C44="","",vFilme*IF(bFilme="Por kg",$I44,1)+vDesgaste*IF(bDesgaste="Por kg",$I44,1)+vLimpeza*IF(bLimpeza="Por kg",$I44,1))</f>
        <v/>
      </c>
      <c r="Z44" s="30">
        <f>IF($C44="","",U44+V44+W44+X44+Y44)</f>
        <v/>
      </c>
      <c r="AA44" s="30">
        <f>IF($C44="","",H44+Z44)</f>
        <v/>
      </c>
      <c r="AB44" s="30">
        <f>IF($C44="","",IFERROR(AA44/$I44,0))</f>
        <v/>
      </c>
      <c r="AC44" s="30">
        <f>IF($C44="","",$I44*O44)</f>
        <v/>
      </c>
      <c r="AD44" s="30">
        <f>IF($C44="","",AC44-H44)</f>
        <v/>
      </c>
      <c r="AE44" s="30">
        <f>IF($C44="","",AC44-AA44)</f>
        <v/>
      </c>
      <c r="AF44" s="32">
        <f>IF($C44="","",IFERROR(AE44/AC44,0))</f>
        <v/>
      </c>
      <c r="AG44" s="33">
        <f>IF($C44="","",IFERROR(O44/AB44,0))</f>
        <v/>
      </c>
      <c r="AH44" s="30">
        <f>IF($C44="","",AB44)</f>
        <v/>
      </c>
      <c r="AI44" s="30">
        <f>IF($C44="","",IFERROR(AB44/(1-IFERROR(INDEX(Prod_Margem,MATCH($C44,Prod_Nome,0)),0)),0))</f>
        <v/>
      </c>
      <c r="AJ44" s="29">
        <f>IF($C44="","",IFERROR(INDEX(Prod_Categoria,MATCH($C44,Prod_Nome,0)),""))</f>
        <v/>
      </c>
      <c r="AK44" s="29">
        <f>IF($C44="","",IFERROR(INDEX(Prod_Fornecedor,MATCH($C44,Prod_Nome,0)),""))</f>
        <v/>
      </c>
      <c r="AL44" s="34">
        <f>IF($A44="","",DATE(YEAR($A44),MONTH($A44),1))</f>
        <v/>
      </c>
    </row>
    <row r="45">
      <c r="A45" s="28" t="n"/>
      <c r="B45" s="12" t="n"/>
      <c r="C45" s="12" t="n"/>
      <c r="D45" s="29">
        <f>IF($C45="","",IFERROR(INDEX(Prod_Marca,MATCH($C45,Prod_Nome,0)),""))</f>
        <v/>
      </c>
      <c r="E45" s="11" t="n"/>
      <c r="F45" s="13" t="n"/>
      <c r="G45" s="14" t="n"/>
      <c r="H45" s="30">
        <f>IF($C45="","",$F45*$G45)</f>
        <v/>
      </c>
      <c r="I45" s="13" t="n"/>
      <c r="J45" s="13" t="n"/>
      <c r="K45" s="13" t="n"/>
      <c r="L45" s="13" t="n"/>
      <c r="M45" s="13" t="n"/>
      <c r="N45" s="12" t="n"/>
      <c r="O45" s="30">
        <f>IF($C45="","",IFERROR(INDEX(Prod_PrecoVenda,MATCH($C45,Prod_Nome,0)),0))</f>
        <v/>
      </c>
      <c r="P45" s="12" t="n"/>
      <c r="Q45" s="31">
        <f>IF($C45="","",$J45+$K45+$L45)</f>
        <v/>
      </c>
      <c r="R45" s="32">
        <f>IF($C45="","",IFERROR((Q45)/$F45,0))</f>
        <v/>
      </c>
      <c r="S45" s="30">
        <f>IF($C45="","",(Q45)*$G45)</f>
        <v/>
      </c>
      <c r="T45" s="30">
        <f>IF($C45="","",(Q45)*$G45)</f>
        <v/>
      </c>
      <c r="U45" s="30">
        <f>IF($C45="","",vEmbalagem*IF(bEmbalagem="Por kg",$I45,1))</f>
        <v/>
      </c>
      <c r="V45" s="30">
        <f>IF($C45="","",vEtiqueta*IF(bEtiqueta="Por kg",$I45,1))</f>
        <v/>
      </c>
      <c r="W45" s="30">
        <f>IF($C45="","",vMaoObra*IF(bMaoObra="Por kg",$I45,1))</f>
        <v/>
      </c>
      <c r="X45" s="30">
        <f>IF($C45="","",vEnergia*IF(bEnergia="Por kg",$I45,1))</f>
        <v/>
      </c>
      <c r="Y45" s="30">
        <f>IF($C45="","",vFilme*IF(bFilme="Por kg",$I45,1)+vDesgaste*IF(bDesgaste="Por kg",$I45,1)+vLimpeza*IF(bLimpeza="Por kg",$I45,1))</f>
        <v/>
      </c>
      <c r="Z45" s="30">
        <f>IF($C45="","",U45+V45+W45+X45+Y45)</f>
        <v/>
      </c>
      <c r="AA45" s="30">
        <f>IF($C45="","",H45+Z45)</f>
        <v/>
      </c>
      <c r="AB45" s="30">
        <f>IF($C45="","",IFERROR(AA45/$I45,0))</f>
        <v/>
      </c>
      <c r="AC45" s="30">
        <f>IF($C45="","",$I45*O45)</f>
        <v/>
      </c>
      <c r="AD45" s="30">
        <f>IF($C45="","",AC45-H45)</f>
        <v/>
      </c>
      <c r="AE45" s="30">
        <f>IF($C45="","",AC45-AA45)</f>
        <v/>
      </c>
      <c r="AF45" s="32">
        <f>IF($C45="","",IFERROR(AE45/AC45,0))</f>
        <v/>
      </c>
      <c r="AG45" s="33">
        <f>IF($C45="","",IFERROR(O45/AB45,0))</f>
        <v/>
      </c>
      <c r="AH45" s="30">
        <f>IF($C45="","",AB45)</f>
        <v/>
      </c>
      <c r="AI45" s="30">
        <f>IF($C45="","",IFERROR(AB45/(1-IFERROR(INDEX(Prod_Margem,MATCH($C45,Prod_Nome,0)),0)),0))</f>
        <v/>
      </c>
      <c r="AJ45" s="29">
        <f>IF($C45="","",IFERROR(INDEX(Prod_Categoria,MATCH($C45,Prod_Nome,0)),""))</f>
        <v/>
      </c>
      <c r="AK45" s="29">
        <f>IF($C45="","",IFERROR(INDEX(Prod_Fornecedor,MATCH($C45,Prod_Nome,0)),""))</f>
        <v/>
      </c>
      <c r="AL45" s="34">
        <f>IF($A45="","",DATE(YEAR($A45),MONTH($A45),1))</f>
        <v/>
      </c>
    </row>
    <row r="46">
      <c r="A46" s="35" t="n"/>
      <c r="B46" s="17" t="n"/>
      <c r="C46" s="17" t="n"/>
      <c r="D46" s="29">
        <f>IF($C46="","",IFERROR(INDEX(Prod_Marca,MATCH($C46,Prod_Nome,0)),""))</f>
        <v/>
      </c>
      <c r="E46" s="16" t="n"/>
      <c r="F46" s="18" t="n"/>
      <c r="G46" s="19" t="n"/>
      <c r="H46" s="30">
        <f>IF($C46="","",$F46*$G46)</f>
        <v/>
      </c>
      <c r="I46" s="18" t="n"/>
      <c r="J46" s="18" t="n"/>
      <c r="K46" s="18" t="n"/>
      <c r="L46" s="18" t="n"/>
      <c r="M46" s="18" t="n"/>
      <c r="N46" s="17" t="n"/>
      <c r="O46" s="30">
        <f>IF($C46="","",IFERROR(INDEX(Prod_PrecoVenda,MATCH($C46,Prod_Nome,0)),0))</f>
        <v/>
      </c>
      <c r="P46" s="17" t="n"/>
      <c r="Q46" s="31">
        <f>IF($C46="","",$J46+$K46+$L46)</f>
        <v/>
      </c>
      <c r="R46" s="32">
        <f>IF($C46="","",IFERROR((Q46)/$F46,0))</f>
        <v/>
      </c>
      <c r="S46" s="30">
        <f>IF($C46="","",(Q46)*$G46)</f>
        <v/>
      </c>
      <c r="T46" s="30">
        <f>IF($C46="","",(Q46)*$G46)</f>
        <v/>
      </c>
      <c r="U46" s="30">
        <f>IF($C46="","",vEmbalagem*IF(bEmbalagem="Por kg",$I46,1))</f>
        <v/>
      </c>
      <c r="V46" s="30">
        <f>IF($C46="","",vEtiqueta*IF(bEtiqueta="Por kg",$I46,1))</f>
        <v/>
      </c>
      <c r="W46" s="30">
        <f>IF($C46="","",vMaoObra*IF(bMaoObra="Por kg",$I46,1))</f>
        <v/>
      </c>
      <c r="X46" s="30">
        <f>IF($C46="","",vEnergia*IF(bEnergia="Por kg",$I46,1))</f>
        <v/>
      </c>
      <c r="Y46" s="30">
        <f>IF($C46="","",vFilme*IF(bFilme="Por kg",$I46,1)+vDesgaste*IF(bDesgaste="Por kg",$I46,1)+vLimpeza*IF(bLimpeza="Por kg",$I46,1))</f>
        <v/>
      </c>
      <c r="Z46" s="30">
        <f>IF($C46="","",U46+V46+W46+X46+Y46)</f>
        <v/>
      </c>
      <c r="AA46" s="30">
        <f>IF($C46="","",H46+Z46)</f>
        <v/>
      </c>
      <c r="AB46" s="30">
        <f>IF($C46="","",IFERROR(AA46/$I46,0))</f>
        <v/>
      </c>
      <c r="AC46" s="30">
        <f>IF($C46="","",$I46*O46)</f>
        <v/>
      </c>
      <c r="AD46" s="30">
        <f>IF($C46="","",AC46-H46)</f>
        <v/>
      </c>
      <c r="AE46" s="30">
        <f>IF($C46="","",AC46-AA46)</f>
        <v/>
      </c>
      <c r="AF46" s="32">
        <f>IF($C46="","",IFERROR(AE46/AC46,0))</f>
        <v/>
      </c>
      <c r="AG46" s="33">
        <f>IF($C46="","",IFERROR(O46/AB46,0))</f>
        <v/>
      </c>
      <c r="AH46" s="30">
        <f>IF($C46="","",AB46)</f>
        <v/>
      </c>
      <c r="AI46" s="30">
        <f>IF($C46="","",IFERROR(AB46/(1-IFERROR(INDEX(Prod_Margem,MATCH($C46,Prod_Nome,0)),0)),0))</f>
        <v/>
      </c>
      <c r="AJ46" s="29">
        <f>IF($C46="","",IFERROR(INDEX(Prod_Categoria,MATCH($C46,Prod_Nome,0)),""))</f>
        <v/>
      </c>
      <c r="AK46" s="29">
        <f>IF($C46="","",IFERROR(INDEX(Prod_Fornecedor,MATCH($C46,Prod_Nome,0)),""))</f>
        <v/>
      </c>
      <c r="AL46" s="34">
        <f>IF($A46="","",DATE(YEAR($A46),MONTH($A46),1))</f>
        <v/>
      </c>
    </row>
    <row r="47">
      <c r="A47" s="28" t="n"/>
      <c r="B47" s="12" t="n"/>
      <c r="C47" s="12" t="n"/>
      <c r="D47" s="29">
        <f>IF($C47="","",IFERROR(INDEX(Prod_Marca,MATCH($C47,Prod_Nome,0)),""))</f>
        <v/>
      </c>
      <c r="E47" s="11" t="n"/>
      <c r="F47" s="13" t="n"/>
      <c r="G47" s="14" t="n"/>
      <c r="H47" s="30">
        <f>IF($C47="","",$F47*$G47)</f>
        <v/>
      </c>
      <c r="I47" s="13" t="n"/>
      <c r="J47" s="13" t="n"/>
      <c r="K47" s="13" t="n"/>
      <c r="L47" s="13" t="n"/>
      <c r="M47" s="13" t="n"/>
      <c r="N47" s="12" t="n"/>
      <c r="O47" s="30">
        <f>IF($C47="","",IFERROR(INDEX(Prod_PrecoVenda,MATCH($C47,Prod_Nome,0)),0))</f>
        <v/>
      </c>
      <c r="P47" s="12" t="n"/>
      <c r="Q47" s="31">
        <f>IF($C47="","",$J47+$K47+$L47)</f>
        <v/>
      </c>
      <c r="R47" s="32">
        <f>IF($C47="","",IFERROR((Q47)/$F47,0))</f>
        <v/>
      </c>
      <c r="S47" s="30">
        <f>IF($C47="","",(Q47)*$G47)</f>
        <v/>
      </c>
      <c r="T47" s="30">
        <f>IF($C47="","",(Q47)*$G47)</f>
        <v/>
      </c>
      <c r="U47" s="30">
        <f>IF($C47="","",vEmbalagem*IF(bEmbalagem="Por kg",$I47,1))</f>
        <v/>
      </c>
      <c r="V47" s="30">
        <f>IF($C47="","",vEtiqueta*IF(bEtiqueta="Por kg",$I47,1))</f>
        <v/>
      </c>
      <c r="W47" s="30">
        <f>IF($C47="","",vMaoObra*IF(bMaoObra="Por kg",$I47,1))</f>
        <v/>
      </c>
      <c r="X47" s="30">
        <f>IF($C47="","",vEnergia*IF(bEnergia="Por kg",$I47,1))</f>
        <v/>
      </c>
      <c r="Y47" s="30">
        <f>IF($C47="","",vFilme*IF(bFilme="Por kg",$I47,1)+vDesgaste*IF(bDesgaste="Por kg",$I47,1)+vLimpeza*IF(bLimpeza="Por kg",$I47,1))</f>
        <v/>
      </c>
      <c r="Z47" s="30">
        <f>IF($C47="","",U47+V47+W47+X47+Y47)</f>
        <v/>
      </c>
      <c r="AA47" s="30">
        <f>IF($C47="","",H47+Z47)</f>
        <v/>
      </c>
      <c r="AB47" s="30">
        <f>IF($C47="","",IFERROR(AA47/$I47,0))</f>
        <v/>
      </c>
      <c r="AC47" s="30">
        <f>IF($C47="","",$I47*O47)</f>
        <v/>
      </c>
      <c r="AD47" s="30">
        <f>IF($C47="","",AC47-H47)</f>
        <v/>
      </c>
      <c r="AE47" s="30">
        <f>IF($C47="","",AC47-AA47)</f>
        <v/>
      </c>
      <c r="AF47" s="32">
        <f>IF($C47="","",IFERROR(AE47/AC47,0))</f>
        <v/>
      </c>
      <c r="AG47" s="33">
        <f>IF($C47="","",IFERROR(O47/AB47,0))</f>
        <v/>
      </c>
      <c r="AH47" s="30">
        <f>IF($C47="","",AB47)</f>
        <v/>
      </c>
      <c r="AI47" s="30">
        <f>IF($C47="","",IFERROR(AB47/(1-IFERROR(INDEX(Prod_Margem,MATCH($C47,Prod_Nome,0)),0)),0))</f>
        <v/>
      </c>
      <c r="AJ47" s="29">
        <f>IF($C47="","",IFERROR(INDEX(Prod_Categoria,MATCH($C47,Prod_Nome,0)),""))</f>
        <v/>
      </c>
      <c r="AK47" s="29">
        <f>IF($C47="","",IFERROR(INDEX(Prod_Fornecedor,MATCH($C47,Prod_Nome,0)),""))</f>
        <v/>
      </c>
      <c r="AL47" s="34">
        <f>IF($A47="","",DATE(YEAR($A47),MONTH($A47),1))</f>
        <v/>
      </c>
    </row>
    <row r="48">
      <c r="A48" s="35" t="n"/>
      <c r="B48" s="17" t="n"/>
      <c r="C48" s="17" t="n"/>
      <c r="D48" s="29">
        <f>IF($C48="","",IFERROR(INDEX(Prod_Marca,MATCH($C48,Prod_Nome,0)),""))</f>
        <v/>
      </c>
      <c r="E48" s="16" t="n"/>
      <c r="F48" s="18" t="n"/>
      <c r="G48" s="19" t="n"/>
      <c r="H48" s="30">
        <f>IF($C48="","",$F48*$G48)</f>
        <v/>
      </c>
      <c r="I48" s="18" t="n"/>
      <c r="J48" s="18" t="n"/>
      <c r="K48" s="18" t="n"/>
      <c r="L48" s="18" t="n"/>
      <c r="M48" s="18" t="n"/>
      <c r="N48" s="17" t="n"/>
      <c r="O48" s="30">
        <f>IF($C48="","",IFERROR(INDEX(Prod_PrecoVenda,MATCH($C48,Prod_Nome,0)),0))</f>
        <v/>
      </c>
      <c r="P48" s="17" t="n"/>
      <c r="Q48" s="31">
        <f>IF($C48="","",$J48+$K48+$L48)</f>
        <v/>
      </c>
      <c r="R48" s="32">
        <f>IF($C48="","",IFERROR((Q48)/$F48,0))</f>
        <v/>
      </c>
      <c r="S48" s="30">
        <f>IF($C48="","",(Q48)*$G48)</f>
        <v/>
      </c>
      <c r="T48" s="30">
        <f>IF($C48="","",(Q48)*$G48)</f>
        <v/>
      </c>
      <c r="U48" s="30">
        <f>IF($C48="","",vEmbalagem*IF(bEmbalagem="Por kg",$I48,1))</f>
        <v/>
      </c>
      <c r="V48" s="30">
        <f>IF($C48="","",vEtiqueta*IF(bEtiqueta="Por kg",$I48,1))</f>
        <v/>
      </c>
      <c r="W48" s="30">
        <f>IF($C48="","",vMaoObra*IF(bMaoObra="Por kg",$I48,1))</f>
        <v/>
      </c>
      <c r="X48" s="30">
        <f>IF($C48="","",vEnergia*IF(bEnergia="Por kg",$I48,1))</f>
        <v/>
      </c>
      <c r="Y48" s="30">
        <f>IF($C48="","",vFilme*IF(bFilme="Por kg",$I48,1)+vDesgaste*IF(bDesgaste="Por kg",$I48,1)+vLimpeza*IF(bLimpeza="Por kg",$I48,1))</f>
        <v/>
      </c>
      <c r="Z48" s="30">
        <f>IF($C48="","",U48+V48+W48+X48+Y48)</f>
        <v/>
      </c>
      <c r="AA48" s="30">
        <f>IF($C48="","",H48+Z48)</f>
        <v/>
      </c>
      <c r="AB48" s="30">
        <f>IF($C48="","",IFERROR(AA48/$I48,0))</f>
        <v/>
      </c>
      <c r="AC48" s="30">
        <f>IF($C48="","",$I48*O48)</f>
        <v/>
      </c>
      <c r="AD48" s="30">
        <f>IF($C48="","",AC48-H48)</f>
        <v/>
      </c>
      <c r="AE48" s="30">
        <f>IF($C48="","",AC48-AA48)</f>
        <v/>
      </c>
      <c r="AF48" s="32">
        <f>IF($C48="","",IFERROR(AE48/AC48,0))</f>
        <v/>
      </c>
      <c r="AG48" s="33">
        <f>IF($C48="","",IFERROR(O48/AB48,0))</f>
        <v/>
      </c>
      <c r="AH48" s="30">
        <f>IF($C48="","",AB48)</f>
        <v/>
      </c>
      <c r="AI48" s="30">
        <f>IF($C48="","",IFERROR(AB48/(1-IFERROR(INDEX(Prod_Margem,MATCH($C48,Prod_Nome,0)),0)),0))</f>
        <v/>
      </c>
      <c r="AJ48" s="29">
        <f>IF($C48="","",IFERROR(INDEX(Prod_Categoria,MATCH($C48,Prod_Nome,0)),""))</f>
        <v/>
      </c>
      <c r="AK48" s="29">
        <f>IF($C48="","",IFERROR(INDEX(Prod_Fornecedor,MATCH($C48,Prod_Nome,0)),""))</f>
        <v/>
      </c>
      <c r="AL48" s="34">
        <f>IF($A48="","",DATE(YEAR($A48),MONTH($A48),1))</f>
        <v/>
      </c>
    </row>
    <row r="49">
      <c r="A49" s="28" t="n"/>
      <c r="B49" s="12" t="n"/>
      <c r="C49" s="12" t="n"/>
      <c r="D49" s="29">
        <f>IF($C49="","",IFERROR(INDEX(Prod_Marca,MATCH($C49,Prod_Nome,0)),""))</f>
        <v/>
      </c>
      <c r="E49" s="11" t="n"/>
      <c r="F49" s="13" t="n"/>
      <c r="G49" s="14" t="n"/>
      <c r="H49" s="30">
        <f>IF($C49="","",$F49*$G49)</f>
        <v/>
      </c>
      <c r="I49" s="13" t="n"/>
      <c r="J49" s="13" t="n"/>
      <c r="K49" s="13" t="n"/>
      <c r="L49" s="13" t="n"/>
      <c r="M49" s="13" t="n"/>
      <c r="N49" s="12" t="n"/>
      <c r="O49" s="30">
        <f>IF($C49="","",IFERROR(INDEX(Prod_PrecoVenda,MATCH($C49,Prod_Nome,0)),0))</f>
        <v/>
      </c>
      <c r="P49" s="12" t="n"/>
      <c r="Q49" s="31">
        <f>IF($C49="","",$J49+$K49+$L49)</f>
        <v/>
      </c>
      <c r="R49" s="32">
        <f>IF($C49="","",IFERROR((Q49)/$F49,0))</f>
        <v/>
      </c>
      <c r="S49" s="30">
        <f>IF($C49="","",(Q49)*$G49)</f>
        <v/>
      </c>
      <c r="T49" s="30">
        <f>IF($C49="","",(Q49)*$G49)</f>
        <v/>
      </c>
      <c r="U49" s="30">
        <f>IF($C49="","",vEmbalagem*IF(bEmbalagem="Por kg",$I49,1))</f>
        <v/>
      </c>
      <c r="V49" s="30">
        <f>IF($C49="","",vEtiqueta*IF(bEtiqueta="Por kg",$I49,1))</f>
        <v/>
      </c>
      <c r="W49" s="30">
        <f>IF($C49="","",vMaoObra*IF(bMaoObra="Por kg",$I49,1))</f>
        <v/>
      </c>
      <c r="X49" s="30">
        <f>IF($C49="","",vEnergia*IF(bEnergia="Por kg",$I49,1))</f>
        <v/>
      </c>
      <c r="Y49" s="30">
        <f>IF($C49="","",vFilme*IF(bFilme="Por kg",$I49,1)+vDesgaste*IF(bDesgaste="Por kg",$I49,1)+vLimpeza*IF(bLimpeza="Por kg",$I49,1))</f>
        <v/>
      </c>
      <c r="Z49" s="30">
        <f>IF($C49="","",U49+V49+W49+X49+Y49)</f>
        <v/>
      </c>
      <c r="AA49" s="30">
        <f>IF($C49="","",H49+Z49)</f>
        <v/>
      </c>
      <c r="AB49" s="30">
        <f>IF($C49="","",IFERROR(AA49/$I49,0))</f>
        <v/>
      </c>
      <c r="AC49" s="30">
        <f>IF($C49="","",$I49*O49)</f>
        <v/>
      </c>
      <c r="AD49" s="30">
        <f>IF($C49="","",AC49-H49)</f>
        <v/>
      </c>
      <c r="AE49" s="30">
        <f>IF($C49="","",AC49-AA49)</f>
        <v/>
      </c>
      <c r="AF49" s="32">
        <f>IF($C49="","",IFERROR(AE49/AC49,0))</f>
        <v/>
      </c>
      <c r="AG49" s="33">
        <f>IF($C49="","",IFERROR(O49/AB49,0))</f>
        <v/>
      </c>
      <c r="AH49" s="30">
        <f>IF($C49="","",AB49)</f>
        <v/>
      </c>
      <c r="AI49" s="30">
        <f>IF($C49="","",IFERROR(AB49/(1-IFERROR(INDEX(Prod_Margem,MATCH($C49,Prod_Nome,0)),0)),0))</f>
        <v/>
      </c>
      <c r="AJ49" s="29">
        <f>IF($C49="","",IFERROR(INDEX(Prod_Categoria,MATCH($C49,Prod_Nome,0)),""))</f>
        <v/>
      </c>
      <c r="AK49" s="29">
        <f>IF($C49="","",IFERROR(INDEX(Prod_Fornecedor,MATCH($C49,Prod_Nome,0)),""))</f>
        <v/>
      </c>
      <c r="AL49" s="34">
        <f>IF($A49="","",DATE(YEAR($A49),MONTH($A49),1))</f>
        <v/>
      </c>
    </row>
    <row r="50">
      <c r="A50" s="35" t="n"/>
      <c r="B50" s="17" t="n"/>
      <c r="C50" s="17" t="n"/>
      <c r="D50" s="29">
        <f>IF($C50="","",IFERROR(INDEX(Prod_Marca,MATCH($C50,Prod_Nome,0)),""))</f>
        <v/>
      </c>
      <c r="E50" s="16" t="n"/>
      <c r="F50" s="18" t="n"/>
      <c r="G50" s="19" t="n"/>
      <c r="H50" s="30">
        <f>IF($C50="","",$F50*$G50)</f>
        <v/>
      </c>
      <c r="I50" s="18" t="n"/>
      <c r="J50" s="18" t="n"/>
      <c r="K50" s="18" t="n"/>
      <c r="L50" s="18" t="n"/>
      <c r="M50" s="18" t="n"/>
      <c r="N50" s="17" t="n"/>
      <c r="O50" s="30">
        <f>IF($C50="","",IFERROR(INDEX(Prod_PrecoVenda,MATCH($C50,Prod_Nome,0)),0))</f>
        <v/>
      </c>
      <c r="P50" s="17" t="n"/>
      <c r="Q50" s="31">
        <f>IF($C50="","",$J50+$K50+$L50)</f>
        <v/>
      </c>
      <c r="R50" s="32">
        <f>IF($C50="","",IFERROR((Q50)/$F50,0))</f>
        <v/>
      </c>
      <c r="S50" s="30">
        <f>IF($C50="","",(Q50)*$G50)</f>
        <v/>
      </c>
      <c r="T50" s="30">
        <f>IF($C50="","",(Q50)*$G50)</f>
        <v/>
      </c>
      <c r="U50" s="30">
        <f>IF($C50="","",vEmbalagem*IF(bEmbalagem="Por kg",$I50,1))</f>
        <v/>
      </c>
      <c r="V50" s="30">
        <f>IF($C50="","",vEtiqueta*IF(bEtiqueta="Por kg",$I50,1))</f>
        <v/>
      </c>
      <c r="W50" s="30">
        <f>IF($C50="","",vMaoObra*IF(bMaoObra="Por kg",$I50,1))</f>
        <v/>
      </c>
      <c r="X50" s="30">
        <f>IF($C50="","",vEnergia*IF(bEnergia="Por kg",$I50,1))</f>
        <v/>
      </c>
      <c r="Y50" s="30">
        <f>IF($C50="","",vFilme*IF(bFilme="Por kg",$I50,1)+vDesgaste*IF(bDesgaste="Por kg",$I50,1)+vLimpeza*IF(bLimpeza="Por kg",$I50,1))</f>
        <v/>
      </c>
      <c r="Z50" s="30">
        <f>IF($C50="","",U50+V50+W50+X50+Y50)</f>
        <v/>
      </c>
      <c r="AA50" s="30">
        <f>IF($C50="","",H50+Z50)</f>
        <v/>
      </c>
      <c r="AB50" s="30">
        <f>IF($C50="","",IFERROR(AA50/$I50,0))</f>
        <v/>
      </c>
      <c r="AC50" s="30">
        <f>IF($C50="","",$I50*O50)</f>
        <v/>
      </c>
      <c r="AD50" s="30">
        <f>IF($C50="","",AC50-H50)</f>
        <v/>
      </c>
      <c r="AE50" s="30">
        <f>IF($C50="","",AC50-AA50)</f>
        <v/>
      </c>
      <c r="AF50" s="32">
        <f>IF($C50="","",IFERROR(AE50/AC50,0))</f>
        <v/>
      </c>
      <c r="AG50" s="33">
        <f>IF($C50="","",IFERROR(O50/AB50,0))</f>
        <v/>
      </c>
      <c r="AH50" s="30">
        <f>IF($C50="","",AB50)</f>
        <v/>
      </c>
      <c r="AI50" s="30">
        <f>IF($C50="","",IFERROR(AB50/(1-IFERROR(INDEX(Prod_Margem,MATCH($C50,Prod_Nome,0)),0)),0))</f>
        <v/>
      </c>
      <c r="AJ50" s="29">
        <f>IF($C50="","",IFERROR(INDEX(Prod_Categoria,MATCH($C50,Prod_Nome,0)),""))</f>
        <v/>
      </c>
      <c r="AK50" s="29">
        <f>IF($C50="","",IFERROR(INDEX(Prod_Fornecedor,MATCH($C50,Prod_Nome,0)),""))</f>
        <v/>
      </c>
      <c r="AL50" s="34">
        <f>IF($A50="","",DATE(YEAR($A50),MONTH($A50),1))</f>
        <v/>
      </c>
    </row>
    <row r="51">
      <c r="A51" s="28" t="n"/>
      <c r="B51" s="12" t="n"/>
      <c r="C51" s="12" t="n"/>
      <c r="D51" s="29">
        <f>IF($C51="","",IFERROR(INDEX(Prod_Marca,MATCH($C51,Prod_Nome,0)),""))</f>
        <v/>
      </c>
      <c r="E51" s="11" t="n"/>
      <c r="F51" s="13" t="n"/>
      <c r="G51" s="14" t="n"/>
      <c r="H51" s="30">
        <f>IF($C51="","",$F51*$G51)</f>
        <v/>
      </c>
      <c r="I51" s="13" t="n"/>
      <c r="J51" s="13" t="n"/>
      <c r="K51" s="13" t="n"/>
      <c r="L51" s="13" t="n"/>
      <c r="M51" s="13" t="n"/>
      <c r="N51" s="12" t="n"/>
      <c r="O51" s="30">
        <f>IF($C51="","",IFERROR(INDEX(Prod_PrecoVenda,MATCH($C51,Prod_Nome,0)),0))</f>
        <v/>
      </c>
      <c r="P51" s="12" t="n"/>
      <c r="Q51" s="31">
        <f>IF($C51="","",$J51+$K51+$L51)</f>
        <v/>
      </c>
      <c r="R51" s="32">
        <f>IF($C51="","",IFERROR((Q51)/$F51,0))</f>
        <v/>
      </c>
      <c r="S51" s="30">
        <f>IF($C51="","",(Q51)*$G51)</f>
        <v/>
      </c>
      <c r="T51" s="30">
        <f>IF($C51="","",(Q51)*$G51)</f>
        <v/>
      </c>
      <c r="U51" s="30">
        <f>IF($C51="","",vEmbalagem*IF(bEmbalagem="Por kg",$I51,1))</f>
        <v/>
      </c>
      <c r="V51" s="30">
        <f>IF($C51="","",vEtiqueta*IF(bEtiqueta="Por kg",$I51,1))</f>
        <v/>
      </c>
      <c r="W51" s="30">
        <f>IF($C51="","",vMaoObra*IF(bMaoObra="Por kg",$I51,1))</f>
        <v/>
      </c>
      <c r="X51" s="30">
        <f>IF($C51="","",vEnergia*IF(bEnergia="Por kg",$I51,1))</f>
        <v/>
      </c>
      <c r="Y51" s="30">
        <f>IF($C51="","",vFilme*IF(bFilme="Por kg",$I51,1)+vDesgaste*IF(bDesgaste="Por kg",$I51,1)+vLimpeza*IF(bLimpeza="Por kg",$I51,1))</f>
        <v/>
      </c>
      <c r="Z51" s="30">
        <f>IF($C51="","",U51+V51+W51+X51+Y51)</f>
        <v/>
      </c>
      <c r="AA51" s="30">
        <f>IF($C51="","",H51+Z51)</f>
        <v/>
      </c>
      <c r="AB51" s="30">
        <f>IF($C51="","",IFERROR(AA51/$I51,0))</f>
        <v/>
      </c>
      <c r="AC51" s="30">
        <f>IF($C51="","",$I51*O51)</f>
        <v/>
      </c>
      <c r="AD51" s="30">
        <f>IF($C51="","",AC51-H51)</f>
        <v/>
      </c>
      <c r="AE51" s="30">
        <f>IF($C51="","",AC51-AA51)</f>
        <v/>
      </c>
      <c r="AF51" s="32">
        <f>IF($C51="","",IFERROR(AE51/AC51,0))</f>
        <v/>
      </c>
      <c r="AG51" s="33">
        <f>IF($C51="","",IFERROR(O51/AB51,0))</f>
        <v/>
      </c>
      <c r="AH51" s="30">
        <f>IF($C51="","",AB51)</f>
        <v/>
      </c>
      <c r="AI51" s="30">
        <f>IF($C51="","",IFERROR(AB51/(1-IFERROR(INDEX(Prod_Margem,MATCH($C51,Prod_Nome,0)),0)),0))</f>
        <v/>
      </c>
      <c r="AJ51" s="29">
        <f>IF($C51="","",IFERROR(INDEX(Prod_Categoria,MATCH($C51,Prod_Nome,0)),""))</f>
        <v/>
      </c>
      <c r="AK51" s="29">
        <f>IF($C51="","",IFERROR(INDEX(Prod_Fornecedor,MATCH($C51,Prod_Nome,0)),""))</f>
        <v/>
      </c>
      <c r="AL51" s="34">
        <f>IF($A51="","",DATE(YEAR($A51),MONTH($A51),1))</f>
        <v/>
      </c>
    </row>
    <row r="52">
      <c r="A52" s="35" t="n"/>
      <c r="B52" s="17" t="n"/>
      <c r="C52" s="17" t="n"/>
      <c r="D52" s="29">
        <f>IF($C52="","",IFERROR(INDEX(Prod_Marca,MATCH($C52,Prod_Nome,0)),""))</f>
        <v/>
      </c>
      <c r="E52" s="16" t="n"/>
      <c r="F52" s="18" t="n"/>
      <c r="G52" s="19" t="n"/>
      <c r="H52" s="30">
        <f>IF($C52="","",$F52*$G52)</f>
        <v/>
      </c>
      <c r="I52" s="18" t="n"/>
      <c r="J52" s="18" t="n"/>
      <c r="K52" s="18" t="n"/>
      <c r="L52" s="18" t="n"/>
      <c r="M52" s="18" t="n"/>
      <c r="N52" s="17" t="n"/>
      <c r="O52" s="30">
        <f>IF($C52="","",IFERROR(INDEX(Prod_PrecoVenda,MATCH($C52,Prod_Nome,0)),0))</f>
        <v/>
      </c>
      <c r="P52" s="17" t="n"/>
      <c r="Q52" s="31">
        <f>IF($C52="","",$J52+$K52+$L52)</f>
        <v/>
      </c>
      <c r="R52" s="32">
        <f>IF($C52="","",IFERROR((Q52)/$F52,0))</f>
        <v/>
      </c>
      <c r="S52" s="30">
        <f>IF($C52="","",(Q52)*$G52)</f>
        <v/>
      </c>
      <c r="T52" s="30">
        <f>IF($C52="","",(Q52)*$G52)</f>
        <v/>
      </c>
      <c r="U52" s="30">
        <f>IF($C52="","",vEmbalagem*IF(bEmbalagem="Por kg",$I52,1))</f>
        <v/>
      </c>
      <c r="V52" s="30">
        <f>IF($C52="","",vEtiqueta*IF(bEtiqueta="Por kg",$I52,1))</f>
        <v/>
      </c>
      <c r="W52" s="30">
        <f>IF($C52="","",vMaoObra*IF(bMaoObra="Por kg",$I52,1))</f>
        <v/>
      </c>
      <c r="X52" s="30">
        <f>IF($C52="","",vEnergia*IF(bEnergia="Por kg",$I52,1))</f>
        <v/>
      </c>
      <c r="Y52" s="30">
        <f>IF($C52="","",vFilme*IF(bFilme="Por kg",$I52,1)+vDesgaste*IF(bDesgaste="Por kg",$I52,1)+vLimpeza*IF(bLimpeza="Por kg",$I52,1))</f>
        <v/>
      </c>
      <c r="Z52" s="30">
        <f>IF($C52="","",U52+V52+W52+X52+Y52)</f>
        <v/>
      </c>
      <c r="AA52" s="30">
        <f>IF($C52="","",H52+Z52)</f>
        <v/>
      </c>
      <c r="AB52" s="30">
        <f>IF($C52="","",IFERROR(AA52/$I52,0))</f>
        <v/>
      </c>
      <c r="AC52" s="30">
        <f>IF($C52="","",$I52*O52)</f>
        <v/>
      </c>
      <c r="AD52" s="30">
        <f>IF($C52="","",AC52-H52)</f>
        <v/>
      </c>
      <c r="AE52" s="30">
        <f>IF($C52="","",AC52-AA52)</f>
        <v/>
      </c>
      <c r="AF52" s="32">
        <f>IF($C52="","",IFERROR(AE52/AC52,0))</f>
        <v/>
      </c>
      <c r="AG52" s="33">
        <f>IF($C52="","",IFERROR(O52/AB52,0))</f>
        <v/>
      </c>
      <c r="AH52" s="30">
        <f>IF($C52="","",AB52)</f>
        <v/>
      </c>
      <c r="AI52" s="30">
        <f>IF($C52="","",IFERROR(AB52/(1-IFERROR(INDEX(Prod_Margem,MATCH($C52,Prod_Nome,0)),0)),0))</f>
        <v/>
      </c>
      <c r="AJ52" s="29">
        <f>IF($C52="","",IFERROR(INDEX(Prod_Categoria,MATCH($C52,Prod_Nome,0)),""))</f>
        <v/>
      </c>
      <c r="AK52" s="29">
        <f>IF($C52="","",IFERROR(INDEX(Prod_Fornecedor,MATCH($C52,Prod_Nome,0)),""))</f>
        <v/>
      </c>
      <c r="AL52" s="34">
        <f>IF($A52="","",DATE(YEAR($A52),MONTH($A52),1))</f>
        <v/>
      </c>
    </row>
    <row r="53">
      <c r="A53" s="28" t="n"/>
      <c r="B53" s="12" t="n"/>
      <c r="C53" s="12" t="n"/>
      <c r="D53" s="29">
        <f>IF($C53="","",IFERROR(INDEX(Prod_Marca,MATCH($C53,Prod_Nome,0)),""))</f>
        <v/>
      </c>
      <c r="E53" s="11" t="n"/>
      <c r="F53" s="13" t="n"/>
      <c r="G53" s="14" t="n"/>
      <c r="H53" s="30">
        <f>IF($C53="","",$F53*$G53)</f>
        <v/>
      </c>
      <c r="I53" s="13" t="n"/>
      <c r="J53" s="13" t="n"/>
      <c r="K53" s="13" t="n"/>
      <c r="L53" s="13" t="n"/>
      <c r="M53" s="13" t="n"/>
      <c r="N53" s="12" t="n"/>
      <c r="O53" s="30">
        <f>IF($C53="","",IFERROR(INDEX(Prod_PrecoVenda,MATCH($C53,Prod_Nome,0)),0))</f>
        <v/>
      </c>
      <c r="P53" s="12" t="n"/>
      <c r="Q53" s="31">
        <f>IF($C53="","",$J53+$K53+$L53)</f>
        <v/>
      </c>
      <c r="R53" s="32">
        <f>IF($C53="","",IFERROR((Q53)/$F53,0))</f>
        <v/>
      </c>
      <c r="S53" s="30">
        <f>IF($C53="","",(Q53)*$G53)</f>
        <v/>
      </c>
      <c r="T53" s="30">
        <f>IF($C53="","",(Q53)*$G53)</f>
        <v/>
      </c>
      <c r="U53" s="30">
        <f>IF($C53="","",vEmbalagem*IF(bEmbalagem="Por kg",$I53,1))</f>
        <v/>
      </c>
      <c r="V53" s="30">
        <f>IF($C53="","",vEtiqueta*IF(bEtiqueta="Por kg",$I53,1))</f>
        <v/>
      </c>
      <c r="W53" s="30">
        <f>IF($C53="","",vMaoObra*IF(bMaoObra="Por kg",$I53,1))</f>
        <v/>
      </c>
      <c r="X53" s="30">
        <f>IF($C53="","",vEnergia*IF(bEnergia="Por kg",$I53,1))</f>
        <v/>
      </c>
      <c r="Y53" s="30">
        <f>IF($C53="","",vFilme*IF(bFilme="Por kg",$I53,1)+vDesgaste*IF(bDesgaste="Por kg",$I53,1)+vLimpeza*IF(bLimpeza="Por kg",$I53,1))</f>
        <v/>
      </c>
      <c r="Z53" s="30">
        <f>IF($C53="","",U53+V53+W53+X53+Y53)</f>
        <v/>
      </c>
      <c r="AA53" s="30">
        <f>IF($C53="","",H53+Z53)</f>
        <v/>
      </c>
      <c r="AB53" s="30">
        <f>IF($C53="","",IFERROR(AA53/$I53,0))</f>
        <v/>
      </c>
      <c r="AC53" s="30">
        <f>IF($C53="","",$I53*O53)</f>
        <v/>
      </c>
      <c r="AD53" s="30">
        <f>IF($C53="","",AC53-H53)</f>
        <v/>
      </c>
      <c r="AE53" s="30">
        <f>IF($C53="","",AC53-AA53)</f>
        <v/>
      </c>
      <c r="AF53" s="32">
        <f>IF($C53="","",IFERROR(AE53/AC53,0))</f>
        <v/>
      </c>
      <c r="AG53" s="33">
        <f>IF($C53="","",IFERROR(O53/AB53,0))</f>
        <v/>
      </c>
      <c r="AH53" s="30">
        <f>IF($C53="","",AB53)</f>
        <v/>
      </c>
      <c r="AI53" s="30">
        <f>IF($C53="","",IFERROR(AB53/(1-IFERROR(INDEX(Prod_Margem,MATCH($C53,Prod_Nome,0)),0)),0))</f>
        <v/>
      </c>
      <c r="AJ53" s="29">
        <f>IF($C53="","",IFERROR(INDEX(Prod_Categoria,MATCH($C53,Prod_Nome,0)),""))</f>
        <v/>
      </c>
      <c r="AK53" s="29">
        <f>IF($C53="","",IFERROR(INDEX(Prod_Fornecedor,MATCH($C53,Prod_Nome,0)),""))</f>
        <v/>
      </c>
      <c r="AL53" s="34">
        <f>IF($A53="","",DATE(YEAR($A53),MONTH($A53),1))</f>
        <v/>
      </c>
    </row>
    <row r="54">
      <c r="A54" s="35" t="n"/>
      <c r="B54" s="17" t="n"/>
      <c r="C54" s="17" t="n"/>
      <c r="D54" s="29">
        <f>IF($C54="","",IFERROR(INDEX(Prod_Marca,MATCH($C54,Prod_Nome,0)),""))</f>
        <v/>
      </c>
      <c r="E54" s="16" t="n"/>
      <c r="F54" s="18" t="n"/>
      <c r="G54" s="19" t="n"/>
      <c r="H54" s="30">
        <f>IF($C54="","",$F54*$G54)</f>
        <v/>
      </c>
      <c r="I54" s="18" t="n"/>
      <c r="J54" s="18" t="n"/>
      <c r="K54" s="18" t="n"/>
      <c r="L54" s="18" t="n"/>
      <c r="M54" s="18" t="n"/>
      <c r="N54" s="17" t="n"/>
      <c r="O54" s="30">
        <f>IF($C54="","",IFERROR(INDEX(Prod_PrecoVenda,MATCH($C54,Prod_Nome,0)),0))</f>
        <v/>
      </c>
      <c r="P54" s="17" t="n"/>
      <c r="Q54" s="31">
        <f>IF($C54="","",$J54+$K54+$L54)</f>
        <v/>
      </c>
      <c r="R54" s="32">
        <f>IF($C54="","",IFERROR((Q54)/$F54,0))</f>
        <v/>
      </c>
      <c r="S54" s="30">
        <f>IF($C54="","",(Q54)*$G54)</f>
        <v/>
      </c>
      <c r="T54" s="30">
        <f>IF($C54="","",(Q54)*$G54)</f>
        <v/>
      </c>
      <c r="U54" s="30">
        <f>IF($C54="","",vEmbalagem*IF(bEmbalagem="Por kg",$I54,1))</f>
        <v/>
      </c>
      <c r="V54" s="30">
        <f>IF($C54="","",vEtiqueta*IF(bEtiqueta="Por kg",$I54,1))</f>
        <v/>
      </c>
      <c r="W54" s="30">
        <f>IF($C54="","",vMaoObra*IF(bMaoObra="Por kg",$I54,1))</f>
        <v/>
      </c>
      <c r="X54" s="30">
        <f>IF($C54="","",vEnergia*IF(bEnergia="Por kg",$I54,1))</f>
        <v/>
      </c>
      <c r="Y54" s="30">
        <f>IF($C54="","",vFilme*IF(bFilme="Por kg",$I54,1)+vDesgaste*IF(bDesgaste="Por kg",$I54,1)+vLimpeza*IF(bLimpeza="Por kg",$I54,1))</f>
        <v/>
      </c>
      <c r="Z54" s="30">
        <f>IF($C54="","",U54+V54+W54+X54+Y54)</f>
        <v/>
      </c>
      <c r="AA54" s="30">
        <f>IF($C54="","",H54+Z54)</f>
        <v/>
      </c>
      <c r="AB54" s="30">
        <f>IF($C54="","",IFERROR(AA54/$I54,0))</f>
        <v/>
      </c>
      <c r="AC54" s="30">
        <f>IF($C54="","",$I54*O54)</f>
        <v/>
      </c>
      <c r="AD54" s="30">
        <f>IF($C54="","",AC54-H54)</f>
        <v/>
      </c>
      <c r="AE54" s="30">
        <f>IF($C54="","",AC54-AA54)</f>
        <v/>
      </c>
      <c r="AF54" s="32">
        <f>IF($C54="","",IFERROR(AE54/AC54,0))</f>
        <v/>
      </c>
      <c r="AG54" s="33">
        <f>IF($C54="","",IFERROR(O54/AB54,0))</f>
        <v/>
      </c>
      <c r="AH54" s="30">
        <f>IF($C54="","",AB54)</f>
        <v/>
      </c>
      <c r="AI54" s="30">
        <f>IF($C54="","",IFERROR(AB54/(1-IFERROR(INDEX(Prod_Margem,MATCH($C54,Prod_Nome,0)),0)),0))</f>
        <v/>
      </c>
      <c r="AJ54" s="29">
        <f>IF($C54="","",IFERROR(INDEX(Prod_Categoria,MATCH($C54,Prod_Nome,0)),""))</f>
        <v/>
      </c>
      <c r="AK54" s="29">
        <f>IF($C54="","",IFERROR(INDEX(Prod_Fornecedor,MATCH($C54,Prod_Nome,0)),""))</f>
        <v/>
      </c>
      <c r="AL54" s="34">
        <f>IF($A54="","",DATE(YEAR($A54),MONTH($A54),1))</f>
        <v/>
      </c>
    </row>
    <row r="55">
      <c r="A55" s="28" t="n"/>
      <c r="B55" s="12" t="n"/>
      <c r="C55" s="12" t="n"/>
      <c r="D55" s="29">
        <f>IF($C55="","",IFERROR(INDEX(Prod_Marca,MATCH($C55,Prod_Nome,0)),""))</f>
        <v/>
      </c>
      <c r="E55" s="11" t="n"/>
      <c r="F55" s="13" t="n"/>
      <c r="G55" s="14" t="n"/>
      <c r="H55" s="30">
        <f>IF($C55="","",$F55*$G55)</f>
        <v/>
      </c>
      <c r="I55" s="13" t="n"/>
      <c r="J55" s="13" t="n"/>
      <c r="K55" s="13" t="n"/>
      <c r="L55" s="13" t="n"/>
      <c r="M55" s="13" t="n"/>
      <c r="N55" s="12" t="n"/>
      <c r="O55" s="30">
        <f>IF($C55="","",IFERROR(INDEX(Prod_PrecoVenda,MATCH($C55,Prod_Nome,0)),0))</f>
        <v/>
      </c>
      <c r="P55" s="12" t="n"/>
      <c r="Q55" s="31">
        <f>IF($C55="","",$J55+$K55+$L55)</f>
        <v/>
      </c>
      <c r="R55" s="32">
        <f>IF($C55="","",IFERROR((Q55)/$F55,0))</f>
        <v/>
      </c>
      <c r="S55" s="30">
        <f>IF($C55="","",(Q55)*$G55)</f>
        <v/>
      </c>
      <c r="T55" s="30">
        <f>IF($C55="","",(Q55)*$G55)</f>
        <v/>
      </c>
      <c r="U55" s="30">
        <f>IF($C55="","",vEmbalagem*IF(bEmbalagem="Por kg",$I55,1))</f>
        <v/>
      </c>
      <c r="V55" s="30">
        <f>IF($C55="","",vEtiqueta*IF(bEtiqueta="Por kg",$I55,1))</f>
        <v/>
      </c>
      <c r="W55" s="30">
        <f>IF($C55="","",vMaoObra*IF(bMaoObra="Por kg",$I55,1))</f>
        <v/>
      </c>
      <c r="X55" s="30">
        <f>IF($C55="","",vEnergia*IF(bEnergia="Por kg",$I55,1))</f>
        <v/>
      </c>
      <c r="Y55" s="30">
        <f>IF($C55="","",vFilme*IF(bFilme="Por kg",$I55,1)+vDesgaste*IF(bDesgaste="Por kg",$I55,1)+vLimpeza*IF(bLimpeza="Por kg",$I55,1))</f>
        <v/>
      </c>
      <c r="Z55" s="30">
        <f>IF($C55="","",U55+V55+W55+X55+Y55)</f>
        <v/>
      </c>
      <c r="AA55" s="30">
        <f>IF($C55="","",H55+Z55)</f>
        <v/>
      </c>
      <c r="AB55" s="30">
        <f>IF($C55="","",IFERROR(AA55/$I55,0))</f>
        <v/>
      </c>
      <c r="AC55" s="30">
        <f>IF($C55="","",$I55*O55)</f>
        <v/>
      </c>
      <c r="AD55" s="30">
        <f>IF($C55="","",AC55-H55)</f>
        <v/>
      </c>
      <c r="AE55" s="30">
        <f>IF($C55="","",AC55-AA55)</f>
        <v/>
      </c>
      <c r="AF55" s="32">
        <f>IF($C55="","",IFERROR(AE55/AC55,0))</f>
        <v/>
      </c>
      <c r="AG55" s="33">
        <f>IF($C55="","",IFERROR(O55/AB55,0))</f>
        <v/>
      </c>
      <c r="AH55" s="30">
        <f>IF($C55="","",AB55)</f>
        <v/>
      </c>
      <c r="AI55" s="30">
        <f>IF($C55="","",IFERROR(AB55/(1-IFERROR(INDEX(Prod_Margem,MATCH($C55,Prod_Nome,0)),0)),0))</f>
        <v/>
      </c>
      <c r="AJ55" s="29">
        <f>IF($C55="","",IFERROR(INDEX(Prod_Categoria,MATCH($C55,Prod_Nome,0)),""))</f>
        <v/>
      </c>
      <c r="AK55" s="29">
        <f>IF($C55="","",IFERROR(INDEX(Prod_Fornecedor,MATCH($C55,Prod_Nome,0)),""))</f>
        <v/>
      </c>
      <c r="AL55" s="34">
        <f>IF($A55="","",DATE(YEAR($A55),MONTH($A55),1))</f>
        <v/>
      </c>
    </row>
    <row r="56">
      <c r="A56" s="35" t="n"/>
      <c r="B56" s="17" t="n"/>
      <c r="C56" s="17" t="n"/>
      <c r="D56" s="29">
        <f>IF($C56="","",IFERROR(INDEX(Prod_Marca,MATCH($C56,Prod_Nome,0)),""))</f>
        <v/>
      </c>
      <c r="E56" s="16" t="n"/>
      <c r="F56" s="18" t="n"/>
      <c r="G56" s="19" t="n"/>
      <c r="H56" s="30">
        <f>IF($C56="","",$F56*$G56)</f>
        <v/>
      </c>
      <c r="I56" s="18" t="n"/>
      <c r="J56" s="18" t="n"/>
      <c r="K56" s="18" t="n"/>
      <c r="L56" s="18" t="n"/>
      <c r="M56" s="18" t="n"/>
      <c r="N56" s="17" t="n"/>
      <c r="O56" s="30">
        <f>IF($C56="","",IFERROR(INDEX(Prod_PrecoVenda,MATCH($C56,Prod_Nome,0)),0))</f>
        <v/>
      </c>
      <c r="P56" s="17" t="n"/>
      <c r="Q56" s="31">
        <f>IF($C56="","",$J56+$K56+$L56)</f>
        <v/>
      </c>
      <c r="R56" s="32">
        <f>IF($C56="","",IFERROR((Q56)/$F56,0))</f>
        <v/>
      </c>
      <c r="S56" s="30">
        <f>IF($C56="","",(Q56)*$G56)</f>
        <v/>
      </c>
      <c r="T56" s="30">
        <f>IF($C56="","",(Q56)*$G56)</f>
        <v/>
      </c>
      <c r="U56" s="30">
        <f>IF($C56="","",vEmbalagem*IF(bEmbalagem="Por kg",$I56,1))</f>
        <v/>
      </c>
      <c r="V56" s="30">
        <f>IF($C56="","",vEtiqueta*IF(bEtiqueta="Por kg",$I56,1))</f>
        <v/>
      </c>
      <c r="W56" s="30">
        <f>IF($C56="","",vMaoObra*IF(bMaoObra="Por kg",$I56,1))</f>
        <v/>
      </c>
      <c r="X56" s="30">
        <f>IF($C56="","",vEnergia*IF(bEnergia="Por kg",$I56,1))</f>
        <v/>
      </c>
      <c r="Y56" s="30">
        <f>IF($C56="","",vFilme*IF(bFilme="Por kg",$I56,1)+vDesgaste*IF(bDesgaste="Por kg",$I56,1)+vLimpeza*IF(bLimpeza="Por kg",$I56,1))</f>
        <v/>
      </c>
      <c r="Z56" s="30">
        <f>IF($C56="","",U56+V56+W56+X56+Y56)</f>
        <v/>
      </c>
      <c r="AA56" s="30">
        <f>IF($C56="","",H56+Z56)</f>
        <v/>
      </c>
      <c r="AB56" s="30">
        <f>IF($C56="","",IFERROR(AA56/$I56,0))</f>
        <v/>
      </c>
      <c r="AC56" s="30">
        <f>IF($C56="","",$I56*O56)</f>
        <v/>
      </c>
      <c r="AD56" s="30">
        <f>IF($C56="","",AC56-H56)</f>
        <v/>
      </c>
      <c r="AE56" s="30">
        <f>IF($C56="","",AC56-AA56)</f>
        <v/>
      </c>
      <c r="AF56" s="32">
        <f>IF($C56="","",IFERROR(AE56/AC56,0))</f>
        <v/>
      </c>
      <c r="AG56" s="33">
        <f>IF($C56="","",IFERROR(O56/AB56,0))</f>
        <v/>
      </c>
      <c r="AH56" s="30">
        <f>IF($C56="","",AB56)</f>
        <v/>
      </c>
      <c r="AI56" s="30">
        <f>IF($C56="","",IFERROR(AB56/(1-IFERROR(INDEX(Prod_Margem,MATCH($C56,Prod_Nome,0)),0)),0))</f>
        <v/>
      </c>
      <c r="AJ56" s="29">
        <f>IF($C56="","",IFERROR(INDEX(Prod_Categoria,MATCH($C56,Prod_Nome,0)),""))</f>
        <v/>
      </c>
      <c r="AK56" s="29">
        <f>IF($C56="","",IFERROR(INDEX(Prod_Fornecedor,MATCH($C56,Prod_Nome,0)),""))</f>
        <v/>
      </c>
      <c r="AL56" s="34">
        <f>IF($A56="","",DATE(YEAR($A56),MONTH($A56),1))</f>
        <v/>
      </c>
    </row>
    <row r="57">
      <c r="A57" s="28" t="n"/>
      <c r="B57" s="12" t="n"/>
      <c r="C57" s="12" t="n"/>
      <c r="D57" s="29">
        <f>IF($C57="","",IFERROR(INDEX(Prod_Marca,MATCH($C57,Prod_Nome,0)),""))</f>
        <v/>
      </c>
      <c r="E57" s="11" t="n"/>
      <c r="F57" s="13" t="n"/>
      <c r="G57" s="14" t="n"/>
      <c r="H57" s="30">
        <f>IF($C57="","",$F57*$G57)</f>
        <v/>
      </c>
      <c r="I57" s="13" t="n"/>
      <c r="J57" s="13" t="n"/>
      <c r="K57" s="13" t="n"/>
      <c r="L57" s="13" t="n"/>
      <c r="M57" s="13" t="n"/>
      <c r="N57" s="12" t="n"/>
      <c r="O57" s="30">
        <f>IF($C57="","",IFERROR(INDEX(Prod_PrecoVenda,MATCH($C57,Prod_Nome,0)),0))</f>
        <v/>
      </c>
      <c r="P57" s="12" t="n"/>
      <c r="Q57" s="31">
        <f>IF($C57="","",$J57+$K57+$L57)</f>
        <v/>
      </c>
      <c r="R57" s="32">
        <f>IF($C57="","",IFERROR((Q57)/$F57,0))</f>
        <v/>
      </c>
      <c r="S57" s="30">
        <f>IF($C57="","",(Q57)*$G57)</f>
        <v/>
      </c>
      <c r="T57" s="30">
        <f>IF($C57="","",(Q57)*$G57)</f>
        <v/>
      </c>
      <c r="U57" s="30">
        <f>IF($C57="","",vEmbalagem*IF(bEmbalagem="Por kg",$I57,1))</f>
        <v/>
      </c>
      <c r="V57" s="30">
        <f>IF($C57="","",vEtiqueta*IF(bEtiqueta="Por kg",$I57,1))</f>
        <v/>
      </c>
      <c r="W57" s="30">
        <f>IF($C57="","",vMaoObra*IF(bMaoObra="Por kg",$I57,1))</f>
        <v/>
      </c>
      <c r="X57" s="30">
        <f>IF($C57="","",vEnergia*IF(bEnergia="Por kg",$I57,1))</f>
        <v/>
      </c>
      <c r="Y57" s="30">
        <f>IF($C57="","",vFilme*IF(bFilme="Por kg",$I57,1)+vDesgaste*IF(bDesgaste="Por kg",$I57,1)+vLimpeza*IF(bLimpeza="Por kg",$I57,1))</f>
        <v/>
      </c>
      <c r="Z57" s="30">
        <f>IF($C57="","",U57+V57+W57+X57+Y57)</f>
        <v/>
      </c>
      <c r="AA57" s="30">
        <f>IF($C57="","",H57+Z57)</f>
        <v/>
      </c>
      <c r="AB57" s="30">
        <f>IF($C57="","",IFERROR(AA57/$I57,0))</f>
        <v/>
      </c>
      <c r="AC57" s="30">
        <f>IF($C57="","",$I57*O57)</f>
        <v/>
      </c>
      <c r="AD57" s="30">
        <f>IF($C57="","",AC57-H57)</f>
        <v/>
      </c>
      <c r="AE57" s="30">
        <f>IF($C57="","",AC57-AA57)</f>
        <v/>
      </c>
      <c r="AF57" s="32">
        <f>IF($C57="","",IFERROR(AE57/AC57,0))</f>
        <v/>
      </c>
      <c r="AG57" s="33">
        <f>IF($C57="","",IFERROR(O57/AB57,0))</f>
        <v/>
      </c>
      <c r="AH57" s="30">
        <f>IF($C57="","",AB57)</f>
        <v/>
      </c>
      <c r="AI57" s="30">
        <f>IF($C57="","",IFERROR(AB57/(1-IFERROR(INDEX(Prod_Margem,MATCH($C57,Prod_Nome,0)),0)),0))</f>
        <v/>
      </c>
      <c r="AJ57" s="29">
        <f>IF($C57="","",IFERROR(INDEX(Prod_Categoria,MATCH($C57,Prod_Nome,0)),""))</f>
        <v/>
      </c>
      <c r="AK57" s="29">
        <f>IF($C57="","",IFERROR(INDEX(Prod_Fornecedor,MATCH($C57,Prod_Nome,0)),""))</f>
        <v/>
      </c>
      <c r="AL57" s="34">
        <f>IF($A57="","",DATE(YEAR($A57),MONTH($A57),1))</f>
        <v/>
      </c>
    </row>
    <row r="58">
      <c r="A58" s="35" t="n"/>
      <c r="B58" s="17" t="n"/>
      <c r="C58" s="17" t="n"/>
      <c r="D58" s="29">
        <f>IF($C58="","",IFERROR(INDEX(Prod_Marca,MATCH($C58,Prod_Nome,0)),""))</f>
        <v/>
      </c>
      <c r="E58" s="16" t="n"/>
      <c r="F58" s="18" t="n"/>
      <c r="G58" s="19" t="n"/>
      <c r="H58" s="30">
        <f>IF($C58="","",$F58*$G58)</f>
        <v/>
      </c>
      <c r="I58" s="18" t="n"/>
      <c r="J58" s="18" t="n"/>
      <c r="K58" s="18" t="n"/>
      <c r="L58" s="18" t="n"/>
      <c r="M58" s="18" t="n"/>
      <c r="N58" s="17" t="n"/>
      <c r="O58" s="30">
        <f>IF($C58="","",IFERROR(INDEX(Prod_PrecoVenda,MATCH($C58,Prod_Nome,0)),0))</f>
        <v/>
      </c>
      <c r="P58" s="17" t="n"/>
      <c r="Q58" s="31">
        <f>IF($C58="","",$J58+$K58+$L58)</f>
        <v/>
      </c>
      <c r="R58" s="32">
        <f>IF($C58="","",IFERROR((Q58)/$F58,0))</f>
        <v/>
      </c>
      <c r="S58" s="30">
        <f>IF($C58="","",(Q58)*$G58)</f>
        <v/>
      </c>
      <c r="T58" s="30">
        <f>IF($C58="","",(Q58)*$G58)</f>
        <v/>
      </c>
      <c r="U58" s="30">
        <f>IF($C58="","",vEmbalagem*IF(bEmbalagem="Por kg",$I58,1))</f>
        <v/>
      </c>
      <c r="V58" s="30">
        <f>IF($C58="","",vEtiqueta*IF(bEtiqueta="Por kg",$I58,1))</f>
        <v/>
      </c>
      <c r="W58" s="30">
        <f>IF($C58="","",vMaoObra*IF(bMaoObra="Por kg",$I58,1))</f>
        <v/>
      </c>
      <c r="X58" s="30">
        <f>IF($C58="","",vEnergia*IF(bEnergia="Por kg",$I58,1))</f>
        <v/>
      </c>
      <c r="Y58" s="30">
        <f>IF($C58="","",vFilme*IF(bFilme="Por kg",$I58,1)+vDesgaste*IF(bDesgaste="Por kg",$I58,1)+vLimpeza*IF(bLimpeza="Por kg",$I58,1))</f>
        <v/>
      </c>
      <c r="Z58" s="30">
        <f>IF($C58="","",U58+V58+W58+X58+Y58)</f>
        <v/>
      </c>
      <c r="AA58" s="30">
        <f>IF($C58="","",H58+Z58)</f>
        <v/>
      </c>
      <c r="AB58" s="30">
        <f>IF($C58="","",IFERROR(AA58/$I58,0))</f>
        <v/>
      </c>
      <c r="AC58" s="30">
        <f>IF($C58="","",$I58*O58)</f>
        <v/>
      </c>
      <c r="AD58" s="30">
        <f>IF($C58="","",AC58-H58)</f>
        <v/>
      </c>
      <c r="AE58" s="30">
        <f>IF($C58="","",AC58-AA58)</f>
        <v/>
      </c>
      <c r="AF58" s="32">
        <f>IF($C58="","",IFERROR(AE58/AC58,0))</f>
        <v/>
      </c>
      <c r="AG58" s="33">
        <f>IF($C58="","",IFERROR(O58/AB58,0))</f>
        <v/>
      </c>
      <c r="AH58" s="30">
        <f>IF($C58="","",AB58)</f>
        <v/>
      </c>
      <c r="AI58" s="30">
        <f>IF($C58="","",IFERROR(AB58/(1-IFERROR(INDEX(Prod_Margem,MATCH($C58,Prod_Nome,0)),0)),0))</f>
        <v/>
      </c>
      <c r="AJ58" s="29">
        <f>IF($C58="","",IFERROR(INDEX(Prod_Categoria,MATCH($C58,Prod_Nome,0)),""))</f>
        <v/>
      </c>
      <c r="AK58" s="29">
        <f>IF($C58="","",IFERROR(INDEX(Prod_Fornecedor,MATCH($C58,Prod_Nome,0)),""))</f>
        <v/>
      </c>
      <c r="AL58" s="34">
        <f>IF($A58="","",DATE(YEAR($A58),MONTH($A58),1))</f>
        <v/>
      </c>
    </row>
    <row r="59">
      <c r="A59" s="28" t="n"/>
      <c r="B59" s="12" t="n"/>
      <c r="C59" s="12" t="n"/>
      <c r="D59" s="29">
        <f>IF($C59="","",IFERROR(INDEX(Prod_Marca,MATCH($C59,Prod_Nome,0)),""))</f>
        <v/>
      </c>
      <c r="E59" s="11" t="n"/>
      <c r="F59" s="13" t="n"/>
      <c r="G59" s="14" t="n"/>
      <c r="H59" s="30">
        <f>IF($C59="","",$F59*$G59)</f>
        <v/>
      </c>
      <c r="I59" s="13" t="n"/>
      <c r="J59" s="13" t="n"/>
      <c r="K59" s="13" t="n"/>
      <c r="L59" s="13" t="n"/>
      <c r="M59" s="13" t="n"/>
      <c r="N59" s="12" t="n"/>
      <c r="O59" s="30">
        <f>IF($C59="","",IFERROR(INDEX(Prod_PrecoVenda,MATCH($C59,Prod_Nome,0)),0))</f>
        <v/>
      </c>
      <c r="P59" s="12" t="n"/>
      <c r="Q59" s="31">
        <f>IF($C59="","",$J59+$K59+$L59)</f>
        <v/>
      </c>
      <c r="R59" s="32">
        <f>IF($C59="","",IFERROR((Q59)/$F59,0))</f>
        <v/>
      </c>
      <c r="S59" s="30">
        <f>IF($C59="","",(Q59)*$G59)</f>
        <v/>
      </c>
      <c r="T59" s="30">
        <f>IF($C59="","",(Q59)*$G59)</f>
        <v/>
      </c>
      <c r="U59" s="30">
        <f>IF($C59="","",vEmbalagem*IF(bEmbalagem="Por kg",$I59,1))</f>
        <v/>
      </c>
      <c r="V59" s="30">
        <f>IF($C59="","",vEtiqueta*IF(bEtiqueta="Por kg",$I59,1))</f>
        <v/>
      </c>
      <c r="W59" s="30">
        <f>IF($C59="","",vMaoObra*IF(bMaoObra="Por kg",$I59,1))</f>
        <v/>
      </c>
      <c r="X59" s="30">
        <f>IF($C59="","",vEnergia*IF(bEnergia="Por kg",$I59,1))</f>
        <v/>
      </c>
      <c r="Y59" s="30">
        <f>IF($C59="","",vFilme*IF(bFilme="Por kg",$I59,1)+vDesgaste*IF(bDesgaste="Por kg",$I59,1)+vLimpeza*IF(bLimpeza="Por kg",$I59,1))</f>
        <v/>
      </c>
      <c r="Z59" s="30">
        <f>IF($C59="","",U59+V59+W59+X59+Y59)</f>
        <v/>
      </c>
      <c r="AA59" s="30">
        <f>IF($C59="","",H59+Z59)</f>
        <v/>
      </c>
      <c r="AB59" s="30">
        <f>IF($C59="","",IFERROR(AA59/$I59,0))</f>
        <v/>
      </c>
      <c r="AC59" s="30">
        <f>IF($C59="","",$I59*O59)</f>
        <v/>
      </c>
      <c r="AD59" s="30">
        <f>IF($C59="","",AC59-H59)</f>
        <v/>
      </c>
      <c r="AE59" s="30">
        <f>IF($C59="","",AC59-AA59)</f>
        <v/>
      </c>
      <c r="AF59" s="32">
        <f>IF($C59="","",IFERROR(AE59/AC59,0))</f>
        <v/>
      </c>
      <c r="AG59" s="33">
        <f>IF($C59="","",IFERROR(O59/AB59,0))</f>
        <v/>
      </c>
      <c r="AH59" s="30">
        <f>IF($C59="","",AB59)</f>
        <v/>
      </c>
      <c r="AI59" s="30">
        <f>IF($C59="","",IFERROR(AB59/(1-IFERROR(INDEX(Prod_Margem,MATCH($C59,Prod_Nome,0)),0)),0))</f>
        <v/>
      </c>
      <c r="AJ59" s="29">
        <f>IF($C59="","",IFERROR(INDEX(Prod_Categoria,MATCH($C59,Prod_Nome,0)),""))</f>
        <v/>
      </c>
      <c r="AK59" s="29">
        <f>IF($C59="","",IFERROR(INDEX(Prod_Fornecedor,MATCH($C59,Prod_Nome,0)),""))</f>
        <v/>
      </c>
      <c r="AL59" s="34">
        <f>IF($A59="","",DATE(YEAR($A59),MONTH($A59),1))</f>
        <v/>
      </c>
    </row>
    <row r="60">
      <c r="A60" s="35" t="n"/>
      <c r="B60" s="17" t="n"/>
      <c r="C60" s="17" t="n"/>
      <c r="D60" s="29">
        <f>IF($C60="","",IFERROR(INDEX(Prod_Marca,MATCH($C60,Prod_Nome,0)),""))</f>
        <v/>
      </c>
      <c r="E60" s="16" t="n"/>
      <c r="F60" s="18" t="n"/>
      <c r="G60" s="19" t="n"/>
      <c r="H60" s="30">
        <f>IF($C60="","",$F60*$G60)</f>
        <v/>
      </c>
      <c r="I60" s="18" t="n"/>
      <c r="J60" s="18" t="n"/>
      <c r="K60" s="18" t="n"/>
      <c r="L60" s="18" t="n"/>
      <c r="M60" s="18" t="n"/>
      <c r="N60" s="17" t="n"/>
      <c r="O60" s="30">
        <f>IF($C60="","",IFERROR(INDEX(Prod_PrecoVenda,MATCH($C60,Prod_Nome,0)),0))</f>
        <v/>
      </c>
      <c r="P60" s="17" t="n"/>
      <c r="Q60" s="31">
        <f>IF($C60="","",$J60+$K60+$L60)</f>
        <v/>
      </c>
      <c r="R60" s="32">
        <f>IF($C60="","",IFERROR((Q60)/$F60,0))</f>
        <v/>
      </c>
      <c r="S60" s="30">
        <f>IF($C60="","",(Q60)*$G60)</f>
        <v/>
      </c>
      <c r="T60" s="30">
        <f>IF($C60="","",(Q60)*$G60)</f>
        <v/>
      </c>
      <c r="U60" s="30">
        <f>IF($C60="","",vEmbalagem*IF(bEmbalagem="Por kg",$I60,1))</f>
        <v/>
      </c>
      <c r="V60" s="30">
        <f>IF($C60="","",vEtiqueta*IF(bEtiqueta="Por kg",$I60,1))</f>
        <v/>
      </c>
      <c r="W60" s="30">
        <f>IF($C60="","",vMaoObra*IF(bMaoObra="Por kg",$I60,1))</f>
        <v/>
      </c>
      <c r="X60" s="30">
        <f>IF($C60="","",vEnergia*IF(bEnergia="Por kg",$I60,1))</f>
        <v/>
      </c>
      <c r="Y60" s="30">
        <f>IF($C60="","",vFilme*IF(bFilme="Por kg",$I60,1)+vDesgaste*IF(bDesgaste="Por kg",$I60,1)+vLimpeza*IF(bLimpeza="Por kg",$I60,1))</f>
        <v/>
      </c>
      <c r="Z60" s="30">
        <f>IF($C60="","",U60+V60+W60+X60+Y60)</f>
        <v/>
      </c>
      <c r="AA60" s="30">
        <f>IF($C60="","",H60+Z60)</f>
        <v/>
      </c>
      <c r="AB60" s="30">
        <f>IF($C60="","",IFERROR(AA60/$I60,0))</f>
        <v/>
      </c>
      <c r="AC60" s="30">
        <f>IF($C60="","",$I60*O60)</f>
        <v/>
      </c>
      <c r="AD60" s="30">
        <f>IF($C60="","",AC60-H60)</f>
        <v/>
      </c>
      <c r="AE60" s="30">
        <f>IF($C60="","",AC60-AA60)</f>
        <v/>
      </c>
      <c r="AF60" s="32">
        <f>IF($C60="","",IFERROR(AE60/AC60,0))</f>
        <v/>
      </c>
      <c r="AG60" s="33">
        <f>IF($C60="","",IFERROR(O60/AB60,0))</f>
        <v/>
      </c>
      <c r="AH60" s="30">
        <f>IF($C60="","",AB60)</f>
        <v/>
      </c>
      <c r="AI60" s="30">
        <f>IF($C60="","",IFERROR(AB60/(1-IFERROR(INDEX(Prod_Margem,MATCH($C60,Prod_Nome,0)),0)),0))</f>
        <v/>
      </c>
      <c r="AJ60" s="29">
        <f>IF($C60="","",IFERROR(INDEX(Prod_Categoria,MATCH($C60,Prod_Nome,0)),""))</f>
        <v/>
      </c>
      <c r="AK60" s="29">
        <f>IF($C60="","",IFERROR(INDEX(Prod_Fornecedor,MATCH($C60,Prod_Nome,0)),""))</f>
        <v/>
      </c>
      <c r="AL60" s="34">
        <f>IF($A60="","",DATE(YEAR($A60),MONTH($A60),1))</f>
        <v/>
      </c>
    </row>
    <row r="61">
      <c r="A61" s="28" t="n"/>
      <c r="B61" s="12" t="n"/>
      <c r="C61" s="12" t="n"/>
      <c r="D61" s="29">
        <f>IF($C61="","",IFERROR(INDEX(Prod_Marca,MATCH($C61,Prod_Nome,0)),""))</f>
        <v/>
      </c>
      <c r="E61" s="11" t="n"/>
      <c r="F61" s="13" t="n"/>
      <c r="G61" s="14" t="n"/>
      <c r="H61" s="30">
        <f>IF($C61="","",$F61*$G61)</f>
        <v/>
      </c>
      <c r="I61" s="13" t="n"/>
      <c r="J61" s="13" t="n"/>
      <c r="K61" s="13" t="n"/>
      <c r="L61" s="13" t="n"/>
      <c r="M61" s="13" t="n"/>
      <c r="N61" s="12" t="n"/>
      <c r="O61" s="30">
        <f>IF($C61="","",IFERROR(INDEX(Prod_PrecoVenda,MATCH($C61,Prod_Nome,0)),0))</f>
        <v/>
      </c>
      <c r="P61" s="12" t="n"/>
      <c r="Q61" s="31">
        <f>IF($C61="","",$J61+$K61+$L61)</f>
        <v/>
      </c>
      <c r="R61" s="32">
        <f>IF($C61="","",IFERROR((Q61)/$F61,0))</f>
        <v/>
      </c>
      <c r="S61" s="30">
        <f>IF($C61="","",(Q61)*$G61)</f>
        <v/>
      </c>
      <c r="T61" s="30">
        <f>IF($C61="","",(Q61)*$G61)</f>
        <v/>
      </c>
      <c r="U61" s="30">
        <f>IF($C61="","",vEmbalagem*IF(bEmbalagem="Por kg",$I61,1))</f>
        <v/>
      </c>
      <c r="V61" s="30">
        <f>IF($C61="","",vEtiqueta*IF(bEtiqueta="Por kg",$I61,1))</f>
        <v/>
      </c>
      <c r="W61" s="30">
        <f>IF($C61="","",vMaoObra*IF(bMaoObra="Por kg",$I61,1))</f>
        <v/>
      </c>
      <c r="X61" s="30">
        <f>IF($C61="","",vEnergia*IF(bEnergia="Por kg",$I61,1))</f>
        <v/>
      </c>
      <c r="Y61" s="30">
        <f>IF($C61="","",vFilme*IF(bFilme="Por kg",$I61,1)+vDesgaste*IF(bDesgaste="Por kg",$I61,1)+vLimpeza*IF(bLimpeza="Por kg",$I61,1))</f>
        <v/>
      </c>
      <c r="Z61" s="30">
        <f>IF($C61="","",U61+V61+W61+X61+Y61)</f>
        <v/>
      </c>
      <c r="AA61" s="30">
        <f>IF($C61="","",H61+Z61)</f>
        <v/>
      </c>
      <c r="AB61" s="30">
        <f>IF($C61="","",IFERROR(AA61/$I61,0))</f>
        <v/>
      </c>
      <c r="AC61" s="30">
        <f>IF($C61="","",$I61*O61)</f>
        <v/>
      </c>
      <c r="AD61" s="30">
        <f>IF($C61="","",AC61-H61)</f>
        <v/>
      </c>
      <c r="AE61" s="30">
        <f>IF($C61="","",AC61-AA61)</f>
        <v/>
      </c>
      <c r="AF61" s="32">
        <f>IF($C61="","",IFERROR(AE61/AC61,0))</f>
        <v/>
      </c>
      <c r="AG61" s="33">
        <f>IF($C61="","",IFERROR(O61/AB61,0))</f>
        <v/>
      </c>
      <c r="AH61" s="30">
        <f>IF($C61="","",AB61)</f>
        <v/>
      </c>
      <c r="AI61" s="30">
        <f>IF($C61="","",IFERROR(AB61/(1-IFERROR(INDEX(Prod_Margem,MATCH($C61,Prod_Nome,0)),0)),0))</f>
        <v/>
      </c>
      <c r="AJ61" s="29">
        <f>IF($C61="","",IFERROR(INDEX(Prod_Categoria,MATCH($C61,Prod_Nome,0)),""))</f>
        <v/>
      </c>
      <c r="AK61" s="29">
        <f>IF($C61="","",IFERROR(INDEX(Prod_Fornecedor,MATCH($C61,Prod_Nome,0)),""))</f>
        <v/>
      </c>
      <c r="AL61" s="34">
        <f>IF($A61="","",DATE(YEAR($A61),MONTH($A61),1))</f>
        <v/>
      </c>
    </row>
    <row r="62">
      <c r="A62" s="35" t="n"/>
      <c r="B62" s="17" t="n"/>
      <c r="C62" s="17" t="n"/>
      <c r="D62" s="29">
        <f>IF($C62="","",IFERROR(INDEX(Prod_Marca,MATCH($C62,Prod_Nome,0)),""))</f>
        <v/>
      </c>
      <c r="E62" s="16" t="n"/>
      <c r="F62" s="18" t="n"/>
      <c r="G62" s="19" t="n"/>
      <c r="H62" s="30">
        <f>IF($C62="","",$F62*$G62)</f>
        <v/>
      </c>
      <c r="I62" s="18" t="n"/>
      <c r="J62" s="18" t="n"/>
      <c r="K62" s="18" t="n"/>
      <c r="L62" s="18" t="n"/>
      <c r="M62" s="18" t="n"/>
      <c r="N62" s="17" t="n"/>
      <c r="O62" s="30">
        <f>IF($C62="","",IFERROR(INDEX(Prod_PrecoVenda,MATCH($C62,Prod_Nome,0)),0))</f>
        <v/>
      </c>
      <c r="P62" s="17" t="n"/>
      <c r="Q62" s="31">
        <f>IF($C62="","",$J62+$K62+$L62)</f>
        <v/>
      </c>
      <c r="R62" s="32">
        <f>IF($C62="","",IFERROR((Q62)/$F62,0))</f>
        <v/>
      </c>
      <c r="S62" s="30">
        <f>IF($C62="","",(Q62)*$G62)</f>
        <v/>
      </c>
      <c r="T62" s="30">
        <f>IF($C62="","",(Q62)*$G62)</f>
        <v/>
      </c>
      <c r="U62" s="30">
        <f>IF($C62="","",vEmbalagem*IF(bEmbalagem="Por kg",$I62,1))</f>
        <v/>
      </c>
      <c r="V62" s="30">
        <f>IF($C62="","",vEtiqueta*IF(bEtiqueta="Por kg",$I62,1))</f>
        <v/>
      </c>
      <c r="W62" s="30">
        <f>IF($C62="","",vMaoObra*IF(bMaoObra="Por kg",$I62,1))</f>
        <v/>
      </c>
      <c r="X62" s="30">
        <f>IF($C62="","",vEnergia*IF(bEnergia="Por kg",$I62,1))</f>
        <v/>
      </c>
      <c r="Y62" s="30">
        <f>IF($C62="","",vFilme*IF(bFilme="Por kg",$I62,1)+vDesgaste*IF(bDesgaste="Por kg",$I62,1)+vLimpeza*IF(bLimpeza="Por kg",$I62,1))</f>
        <v/>
      </c>
      <c r="Z62" s="30">
        <f>IF($C62="","",U62+V62+W62+X62+Y62)</f>
        <v/>
      </c>
      <c r="AA62" s="30">
        <f>IF($C62="","",H62+Z62)</f>
        <v/>
      </c>
      <c r="AB62" s="30">
        <f>IF($C62="","",IFERROR(AA62/$I62,0))</f>
        <v/>
      </c>
      <c r="AC62" s="30">
        <f>IF($C62="","",$I62*O62)</f>
        <v/>
      </c>
      <c r="AD62" s="30">
        <f>IF($C62="","",AC62-H62)</f>
        <v/>
      </c>
      <c r="AE62" s="30">
        <f>IF($C62="","",AC62-AA62)</f>
        <v/>
      </c>
      <c r="AF62" s="32">
        <f>IF($C62="","",IFERROR(AE62/AC62,0))</f>
        <v/>
      </c>
      <c r="AG62" s="33">
        <f>IF($C62="","",IFERROR(O62/AB62,0))</f>
        <v/>
      </c>
      <c r="AH62" s="30">
        <f>IF($C62="","",AB62)</f>
        <v/>
      </c>
      <c r="AI62" s="30">
        <f>IF($C62="","",IFERROR(AB62/(1-IFERROR(INDEX(Prod_Margem,MATCH($C62,Prod_Nome,0)),0)),0))</f>
        <v/>
      </c>
      <c r="AJ62" s="29">
        <f>IF($C62="","",IFERROR(INDEX(Prod_Categoria,MATCH($C62,Prod_Nome,0)),""))</f>
        <v/>
      </c>
      <c r="AK62" s="29">
        <f>IF($C62="","",IFERROR(INDEX(Prod_Fornecedor,MATCH($C62,Prod_Nome,0)),""))</f>
        <v/>
      </c>
      <c r="AL62" s="34">
        <f>IF($A62="","",DATE(YEAR($A62),MONTH($A62),1))</f>
        <v/>
      </c>
    </row>
    <row r="63">
      <c r="A63" s="28" t="n"/>
      <c r="B63" s="12" t="n"/>
      <c r="C63" s="12" t="n"/>
      <c r="D63" s="29">
        <f>IF($C63="","",IFERROR(INDEX(Prod_Marca,MATCH($C63,Prod_Nome,0)),""))</f>
        <v/>
      </c>
      <c r="E63" s="11" t="n"/>
      <c r="F63" s="13" t="n"/>
      <c r="G63" s="14" t="n"/>
      <c r="H63" s="30">
        <f>IF($C63="","",$F63*$G63)</f>
        <v/>
      </c>
      <c r="I63" s="13" t="n"/>
      <c r="J63" s="13" t="n"/>
      <c r="K63" s="13" t="n"/>
      <c r="L63" s="13" t="n"/>
      <c r="M63" s="13" t="n"/>
      <c r="N63" s="12" t="n"/>
      <c r="O63" s="30">
        <f>IF($C63="","",IFERROR(INDEX(Prod_PrecoVenda,MATCH($C63,Prod_Nome,0)),0))</f>
        <v/>
      </c>
      <c r="P63" s="12" t="n"/>
      <c r="Q63" s="31">
        <f>IF($C63="","",$J63+$K63+$L63)</f>
        <v/>
      </c>
      <c r="R63" s="32">
        <f>IF($C63="","",IFERROR((Q63)/$F63,0))</f>
        <v/>
      </c>
      <c r="S63" s="30">
        <f>IF($C63="","",(Q63)*$G63)</f>
        <v/>
      </c>
      <c r="T63" s="30">
        <f>IF($C63="","",(Q63)*$G63)</f>
        <v/>
      </c>
      <c r="U63" s="30">
        <f>IF($C63="","",vEmbalagem*IF(bEmbalagem="Por kg",$I63,1))</f>
        <v/>
      </c>
      <c r="V63" s="30">
        <f>IF($C63="","",vEtiqueta*IF(bEtiqueta="Por kg",$I63,1))</f>
        <v/>
      </c>
      <c r="W63" s="30">
        <f>IF($C63="","",vMaoObra*IF(bMaoObra="Por kg",$I63,1))</f>
        <v/>
      </c>
      <c r="X63" s="30">
        <f>IF($C63="","",vEnergia*IF(bEnergia="Por kg",$I63,1))</f>
        <v/>
      </c>
      <c r="Y63" s="30">
        <f>IF($C63="","",vFilme*IF(bFilme="Por kg",$I63,1)+vDesgaste*IF(bDesgaste="Por kg",$I63,1)+vLimpeza*IF(bLimpeza="Por kg",$I63,1))</f>
        <v/>
      </c>
      <c r="Z63" s="30">
        <f>IF($C63="","",U63+V63+W63+X63+Y63)</f>
        <v/>
      </c>
      <c r="AA63" s="30">
        <f>IF($C63="","",H63+Z63)</f>
        <v/>
      </c>
      <c r="AB63" s="30">
        <f>IF($C63="","",IFERROR(AA63/$I63,0))</f>
        <v/>
      </c>
      <c r="AC63" s="30">
        <f>IF($C63="","",$I63*O63)</f>
        <v/>
      </c>
      <c r="AD63" s="30">
        <f>IF($C63="","",AC63-H63)</f>
        <v/>
      </c>
      <c r="AE63" s="30">
        <f>IF($C63="","",AC63-AA63)</f>
        <v/>
      </c>
      <c r="AF63" s="32">
        <f>IF($C63="","",IFERROR(AE63/AC63,0))</f>
        <v/>
      </c>
      <c r="AG63" s="33">
        <f>IF($C63="","",IFERROR(O63/AB63,0))</f>
        <v/>
      </c>
      <c r="AH63" s="30">
        <f>IF($C63="","",AB63)</f>
        <v/>
      </c>
      <c r="AI63" s="30">
        <f>IF($C63="","",IFERROR(AB63/(1-IFERROR(INDEX(Prod_Margem,MATCH($C63,Prod_Nome,0)),0)),0))</f>
        <v/>
      </c>
      <c r="AJ63" s="29">
        <f>IF($C63="","",IFERROR(INDEX(Prod_Categoria,MATCH($C63,Prod_Nome,0)),""))</f>
        <v/>
      </c>
      <c r="AK63" s="29">
        <f>IF($C63="","",IFERROR(INDEX(Prod_Fornecedor,MATCH($C63,Prod_Nome,0)),""))</f>
        <v/>
      </c>
      <c r="AL63" s="34">
        <f>IF($A63="","",DATE(YEAR($A63),MONTH($A63),1))</f>
        <v/>
      </c>
    </row>
    <row r="64">
      <c r="A64" s="35" t="n"/>
      <c r="B64" s="17" t="n"/>
      <c r="C64" s="17" t="n"/>
      <c r="D64" s="29">
        <f>IF($C64="","",IFERROR(INDEX(Prod_Marca,MATCH($C64,Prod_Nome,0)),""))</f>
        <v/>
      </c>
      <c r="E64" s="16" t="n"/>
      <c r="F64" s="18" t="n"/>
      <c r="G64" s="19" t="n"/>
      <c r="H64" s="30">
        <f>IF($C64="","",$F64*$G64)</f>
        <v/>
      </c>
      <c r="I64" s="18" t="n"/>
      <c r="J64" s="18" t="n"/>
      <c r="K64" s="18" t="n"/>
      <c r="L64" s="18" t="n"/>
      <c r="M64" s="18" t="n"/>
      <c r="N64" s="17" t="n"/>
      <c r="O64" s="30">
        <f>IF($C64="","",IFERROR(INDEX(Prod_PrecoVenda,MATCH($C64,Prod_Nome,0)),0))</f>
        <v/>
      </c>
      <c r="P64" s="17" t="n"/>
      <c r="Q64" s="31">
        <f>IF($C64="","",$J64+$K64+$L64)</f>
        <v/>
      </c>
      <c r="R64" s="32">
        <f>IF($C64="","",IFERROR((Q64)/$F64,0))</f>
        <v/>
      </c>
      <c r="S64" s="30">
        <f>IF($C64="","",(Q64)*$G64)</f>
        <v/>
      </c>
      <c r="T64" s="30">
        <f>IF($C64="","",(Q64)*$G64)</f>
        <v/>
      </c>
      <c r="U64" s="30">
        <f>IF($C64="","",vEmbalagem*IF(bEmbalagem="Por kg",$I64,1))</f>
        <v/>
      </c>
      <c r="V64" s="30">
        <f>IF($C64="","",vEtiqueta*IF(bEtiqueta="Por kg",$I64,1))</f>
        <v/>
      </c>
      <c r="W64" s="30">
        <f>IF($C64="","",vMaoObra*IF(bMaoObra="Por kg",$I64,1))</f>
        <v/>
      </c>
      <c r="X64" s="30">
        <f>IF($C64="","",vEnergia*IF(bEnergia="Por kg",$I64,1))</f>
        <v/>
      </c>
      <c r="Y64" s="30">
        <f>IF($C64="","",vFilme*IF(bFilme="Por kg",$I64,1)+vDesgaste*IF(bDesgaste="Por kg",$I64,1)+vLimpeza*IF(bLimpeza="Por kg",$I64,1))</f>
        <v/>
      </c>
      <c r="Z64" s="30">
        <f>IF($C64="","",U64+V64+W64+X64+Y64)</f>
        <v/>
      </c>
      <c r="AA64" s="30">
        <f>IF($C64="","",H64+Z64)</f>
        <v/>
      </c>
      <c r="AB64" s="30">
        <f>IF($C64="","",IFERROR(AA64/$I64,0))</f>
        <v/>
      </c>
      <c r="AC64" s="30">
        <f>IF($C64="","",$I64*O64)</f>
        <v/>
      </c>
      <c r="AD64" s="30">
        <f>IF($C64="","",AC64-H64)</f>
        <v/>
      </c>
      <c r="AE64" s="30">
        <f>IF($C64="","",AC64-AA64)</f>
        <v/>
      </c>
      <c r="AF64" s="32">
        <f>IF($C64="","",IFERROR(AE64/AC64,0))</f>
        <v/>
      </c>
      <c r="AG64" s="33">
        <f>IF($C64="","",IFERROR(O64/AB64,0))</f>
        <v/>
      </c>
      <c r="AH64" s="30">
        <f>IF($C64="","",AB64)</f>
        <v/>
      </c>
      <c r="AI64" s="30">
        <f>IF($C64="","",IFERROR(AB64/(1-IFERROR(INDEX(Prod_Margem,MATCH($C64,Prod_Nome,0)),0)),0))</f>
        <v/>
      </c>
      <c r="AJ64" s="29">
        <f>IF($C64="","",IFERROR(INDEX(Prod_Categoria,MATCH($C64,Prod_Nome,0)),""))</f>
        <v/>
      </c>
      <c r="AK64" s="29">
        <f>IF($C64="","",IFERROR(INDEX(Prod_Fornecedor,MATCH($C64,Prod_Nome,0)),""))</f>
        <v/>
      </c>
      <c r="AL64" s="34">
        <f>IF($A64="","",DATE(YEAR($A64),MONTH($A64),1))</f>
        <v/>
      </c>
    </row>
  </sheetData>
  <sheetProtection selectLockedCells="1" selectUnlockedCells="1" sheet="1" objects="0" insertRows="0" insertHyperlinks="1" autoFilter="1" scenarios="0" formatColumns="0" deleteColumns="1" insertColumns="1" pivotTables="1" deleteRows="1" formatCells="0" formatRows="0" sort="1" password="CE4B"/>
  <mergeCells count="2">
    <mergeCell ref="A1:AL1"/>
    <mergeCell ref="A2:AL2"/>
  </mergeCells>
  <conditionalFormatting sqref="R5:R64">
    <cfRule type="expression" priority="1" dxfId="0">
      <formula>AND($C5&lt;&gt;"",R5&gt;MetaPerdaMax)</formula>
    </cfRule>
    <cfRule type="expression" priority="2" dxfId="1">
      <formula>AND($C5&lt;&gt;"",R5&gt;MetaPerda,R5&lt;=MetaPerdaMax)</formula>
    </cfRule>
    <cfRule type="expression" priority="3" dxfId="2">
      <formula>AND($C5&lt;&gt;"",R5&lt;=MetaPerda)</formula>
    </cfRule>
  </conditionalFormatting>
  <conditionalFormatting sqref="AE5:AE64">
    <cfRule type="cellIs" priority="4" operator="lessThan" dxfId="0">
      <formula>0</formula>
    </cfRule>
  </conditionalFormatting>
  <dataValidations count="3">
    <dataValidation sqref="B5:B64" showDropDown="0" showInputMessage="0" showErrorMessage="0" allowBlank="1" type="list">
      <formula1>=ListaFuncionarios</formula1>
    </dataValidation>
    <dataValidation sqref="C5:C64" showDropDown="0" showInputMessage="0" showErrorMessage="0" allowBlank="1" type="list">
      <formula1>=Prod_Nome</formula1>
    </dataValidation>
    <dataValidation sqref="N5:N64" showDropDown="0" showInputMessage="0" showErrorMessage="0" allowBlank="1" type="list">
      <formula1>=ListaMotivos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3" customWidth="1" min="4" max="4"/>
    <col width="6" customWidth="1" min="5" max="5"/>
    <col width="20" customWidth="1" min="6" max="6"/>
    <col width="15" customWidth="1" min="7" max="7"/>
    <col width="3" customWidth="1" min="8" max="8"/>
    <col width="6" customWidth="1" min="9" max="9"/>
    <col width="20" customWidth="1" min="10" max="10"/>
    <col width="13" customWidth="1" min="11" max="11"/>
    <col width="3" customWidth="1" min="12" max="12"/>
  </cols>
  <sheetData>
    <row r="1" ht="34" customHeight="1">
      <c r="A1" s="36" t="inlineStr">
        <is>
          <t>DASHBOARD DE GESTAO - ED FRIOS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</row>
    <row r="2">
      <c r="A2" s="38" t="inlineStr">
        <is>
          <t>Visao geral da operacao de fatiamento. Atualiza automaticamente conforme os lancamentos.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</row>
    <row r="3" ht="20" customHeight="1">
      <c r="A3" s="39" t="inlineStr">
        <is>
          <t>Inicio</t>
        </is>
      </c>
      <c r="B3" s="39" t="inlineStr">
        <is>
          <t>Produtos</t>
        </is>
      </c>
      <c r="C3" s="39" t="inlineStr">
        <is>
          <t>Custos</t>
        </is>
      </c>
      <c r="D3" s="39" t="inlineStr">
        <is>
          <t>Fatiamento</t>
        </is>
      </c>
      <c r="E3" s="40" t="inlineStr">
        <is>
          <t>Dashboard</t>
        </is>
      </c>
      <c r="F3" s="39" t="inlineStr">
        <is>
          <t>Relatorios</t>
        </is>
      </c>
      <c r="G3" s="37" t="n"/>
      <c r="H3" s="37" t="n"/>
      <c r="I3" s="37" t="n"/>
      <c r="J3" s="37" t="n"/>
      <c r="K3" s="37" t="n"/>
      <c r="L3" s="37" t="n"/>
    </row>
    <row r="4">
      <c r="A4" s="37" t="n"/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</row>
    <row r="5">
      <c r="A5" s="41" t="inlineStr">
        <is>
          <t>PECAS ABERTAS</t>
        </is>
      </c>
      <c r="B5" s="37" t="n"/>
      <c r="C5" s="41" t="inlineStr">
        <is>
          <t>KG COMPRADOS</t>
        </is>
      </c>
      <c r="D5" s="37" t="n"/>
      <c r="E5" s="41" t="inlineStr">
        <is>
          <t>KG VENDIDOS</t>
        </is>
      </c>
      <c r="F5" s="37" t="n"/>
      <c r="G5" s="42" t="inlineStr">
        <is>
          <t>SEMAFORO DE DESEMPENHO</t>
        </is>
      </c>
      <c r="H5" s="37" t="n"/>
      <c r="I5" s="37" t="n"/>
      <c r="J5" s="37" t="n"/>
      <c r="K5" s="37" t="n"/>
      <c r="L5" s="37" t="n"/>
    </row>
    <row r="6">
      <c r="A6" s="43">
        <f>SUMPRODUCT(--(Fat_Produto&lt;&gt;""))</f>
        <v/>
      </c>
      <c r="B6" s="37" t="n"/>
      <c r="C6" s="44">
        <f>SUM(Fat_PesoAntes)</f>
        <v/>
      </c>
      <c r="D6" s="37" t="n"/>
      <c r="E6" s="44">
        <f>SUM(Fat_PesoVend)</f>
        <v/>
      </c>
      <c r="F6" s="37" t="n"/>
      <c r="G6" s="45">
        <f>IF(E9&gt;MetaPerdaMax,"CRITICO",IF(E9&gt;MetaPerda,"ATENCAO","SAUDAVEL"))</f>
        <v/>
      </c>
      <c r="H6" s="37" t="n"/>
      <c r="I6" s="37" t="n"/>
      <c r="J6" s="37" t="n"/>
      <c r="K6" s="37" t="n"/>
      <c r="L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</row>
    <row r="8">
      <c r="A8" s="41" t="inlineStr">
        <is>
          <t>KG PERDIDOS</t>
        </is>
      </c>
      <c r="B8" s="37" t="n"/>
      <c r="C8" s="41" t="inlineStr">
        <is>
          <t>VALOR PERDIDO</t>
        </is>
      </c>
      <c r="D8" s="37" t="n"/>
      <c r="E8" s="41" t="inlineStr">
        <is>
          <t>PERDA MEDIA</t>
        </is>
      </c>
      <c r="F8" s="37" t="n"/>
      <c r="G8" s="42" t="inlineStr">
        <is>
          <t>Produto + lucrativo</t>
        </is>
      </c>
      <c r="H8" s="37" t="n"/>
      <c r="I8" s="42" t="inlineStr">
        <is>
          <t>Funcionario + perda</t>
        </is>
      </c>
      <c r="J8" s="37" t="n"/>
      <c r="K8" s="37" t="n"/>
      <c r="L8" s="37" t="n"/>
    </row>
    <row r="9">
      <c r="A9" s="44">
        <f>SUM(Fat_PesoPerd)</f>
        <v/>
      </c>
      <c r="B9" s="37" t="n"/>
      <c r="C9" s="46">
        <f>SUM(Fat_ValorPerd)</f>
        <v/>
      </c>
      <c r="D9" s="37" t="n"/>
      <c r="E9" s="47">
        <f>IFERROR(SUM(Fat_PesoPerd)/SUM(Fat_PesoAntes),0)</f>
        <v/>
      </c>
      <c r="F9" s="37" t="n"/>
      <c r="G9" s="48">
        <f>IFERROR(INDEX(Base_Prod,MATCH(MAX(Base_KeyLucro),Base_KeyLucro,0)),"-")</f>
        <v/>
      </c>
      <c r="H9" s="37" t="n"/>
      <c r="I9" s="49">
        <f>IFERROR(INDEX(Base_Func,MATCH(MAX(Base_FuncPerdaPct),Base_FuncPerdaPct,0)),"-")</f>
        <v/>
      </c>
      <c r="J9" s="37" t="n"/>
      <c r="K9" s="37" t="n"/>
      <c r="L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</row>
    <row r="11">
      <c r="A11" s="41" t="inlineStr">
        <is>
          <t>LUCRO BRUTO</t>
        </is>
      </c>
      <c r="B11" s="37" t="n"/>
      <c r="C11" s="41" t="inlineStr">
        <is>
          <t>LUCRO LIQUIDO</t>
        </is>
      </c>
      <c r="D11" s="37" t="n"/>
      <c r="E11" s="41" t="inlineStr">
        <is>
          <t>MARGEM MEDIA</t>
        </is>
      </c>
      <c r="F11" s="37" t="n"/>
      <c r="G11" s="42" t="inlineStr">
        <is>
          <t>Produto + desperdicio</t>
        </is>
      </c>
      <c r="H11" s="37" t="n"/>
      <c r="I11" s="42" t="inlineStr">
        <is>
          <t>Fornecedor + perda</t>
        </is>
      </c>
      <c r="J11" s="37" t="n"/>
      <c r="K11" s="37" t="n"/>
      <c r="L11" s="37" t="n"/>
    </row>
    <row r="12">
      <c r="A12" s="46">
        <f>SUM(Fat_LucroBruto)</f>
        <v/>
      </c>
      <c r="B12" s="37" t="n"/>
      <c r="C12" s="46">
        <f>SUM(Fat_LucroLiq)</f>
        <v/>
      </c>
      <c r="D12" s="37" t="n"/>
      <c r="E12" s="47">
        <f>IFERROR(SUM(Fat_LucroLiq)/SUM(Fat_Receita),0)</f>
        <v/>
      </c>
      <c r="F12" s="37" t="n"/>
      <c r="G12" s="49">
        <f>IFERROR(INDEX(Base_Prod,MATCH(MAX(Base_KeyPerda),Base_KeyPerda,0)),"-")</f>
        <v/>
      </c>
      <c r="H12" s="37" t="n"/>
      <c r="I12" s="49">
        <f>IFERROR(INDEX(Base_Forn,MATCH(MAX(Base_FornValor),Base_FornValor,0)),"-")</f>
        <v/>
      </c>
      <c r="J12" s="37" t="n"/>
      <c r="K12" s="37" t="n"/>
      <c r="L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</row>
    <row r="15">
      <c r="A15" s="50" t="inlineStr">
        <is>
          <t>RANKING - MAIOR PERDA (R$)</t>
        </is>
      </c>
      <c r="B15" s="37" t="n"/>
      <c r="C15" s="37" t="n"/>
      <c r="D15" s="37" t="n"/>
      <c r="E15" s="50" t="inlineStr">
        <is>
          <t>RANKING - MAIOR LUCRO (R$)</t>
        </is>
      </c>
      <c r="F15" s="37" t="n"/>
      <c r="G15" s="37" t="n"/>
      <c r="H15" s="37" t="n"/>
      <c r="I15" s="50" t="inlineStr">
        <is>
          <t>RANKING - FUNCIONARIOS (% perda)</t>
        </is>
      </c>
      <c r="J15" s="37" t="n"/>
      <c r="K15" s="37" t="n"/>
      <c r="L15" s="37" t="n"/>
    </row>
    <row r="16">
      <c r="A16" s="51" t="inlineStr">
        <is>
          <t>#</t>
        </is>
      </c>
      <c r="B16" s="51" t="inlineStr">
        <is>
          <t>Produto</t>
        </is>
      </c>
      <c r="C16" s="51" t="inlineStr">
        <is>
          <t>Valor perdido</t>
        </is>
      </c>
      <c r="D16" s="37" t="n"/>
      <c r="E16" s="51" t="inlineStr">
        <is>
          <t>#</t>
        </is>
      </c>
      <c r="F16" s="51" t="inlineStr">
        <is>
          <t>Produto</t>
        </is>
      </c>
      <c r="G16" s="51" t="inlineStr">
        <is>
          <t>Lucro liquido</t>
        </is>
      </c>
      <c r="H16" s="37" t="n"/>
      <c r="I16" s="51" t="inlineStr">
        <is>
          <t>#</t>
        </is>
      </c>
      <c r="J16" s="51" t="inlineStr">
        <is>
          <t>Funcionario</t>
        </is>
      </c>
      <c r="K16" s="51" t="inlineStr">
        <is>
          <t>% perda</t>
        </is>
      </c>
      <c r="L16" s="37" t="n"/>
    </row>
    <row r="17">
      <c r="A17" s="52" t="n">
        <v>1</v>
      </c>
      <c r="B17" s="52">
        <f>IFERROR(INDEX(Base_Prod,MATCH(LARGE(Base_KeyPerda,1),Base_KeyPerda,0)),"-")</f>
        <v/>
      </c>
      <c r="C17" s="53">
        <f>IFERROR(INDEX(Base_ValorPerd,MATCH(LARGE(Base_KeyPerda,1),Base_KeyPerda,0)),0)</f>
        <v/>
      </c>
      <c r="D17" s="37" t="n"/>
      <c r="E17" s="52" t="n">
        <v>1</v>
      </c>
      <c r="F17" s="52">
        <f>IFERROR(INDEX(Base_Prod,MATCH(LARGE(Base_KeyLucro,1),Base_KeyLucro,0)),"-")</f>
        <v/>
      </c>
      <c r="G17" s="53">
        <f>IFERROR(INDEX(Base_Lucro,MATCH(LARGE(Base_KeyLucro,1),Base_KeyLucro,0)),0)</f>
        <v/>
      </c>
      <c r="H17" s="37" t="n"/>
      <c r="I17" s="52" t="n">
        <v>1</v>
      </c>
      <c r="J17" s="52">
        <f>IFERROR(INDEX(Base_Func,MATCH(LARGE(Base_FuncPerdaPct,1),Base_FuncPerdaPct,0)),"-")</f>
        <v/>
      </c>
      <c r="K17" s="54">
        <f>IFERROR(LARGE(Base_FuncPerdaPct,1),0)</f>
        <v/>
      </c>
      <c r="L17" s="37" t="n"/>
    </row>
    <row r="18">
      <c r="A18" s="52" t="n">
        <v>2</v>
      </c>
      <c r="B18" s="52">
        <f>IFERROR(INDEX(Base_Prod,MATCH(LARGE(Base_KeyPerda,2),Base_KeyPerda,0)),"-")</f>
        <v/>
      </c>
      <c r="C18" s="53">
        <f>IFERROR(INDEX(Base_ValorPerd,MATCH(LARGE(Base_KeyPerda,2),Base_KeyPerda,0)),0)</f>
        <v/>
      </c>
      <c r="D18" s="37" t="n"/>
      <c r="E18" s="52" t="n">
        <v>2</v>
      </c>
      <c r="F18" s="52">
        <f>IFERROR(INDEX(Base_Prod,MATCH(LARGE(Base_KeyLucro,2),Base_KeyLucro,0)),"-")</f>
        <v/>
      </c>
      <c r="G18" s="53">
        <f>IFERROR(INDEX(Base_Lucro,MATCH(LARGE(Base_KeyLucro,2),Base_KeyLucro,0)),0)</f>
        <v/>
      </c>
      <c r="H18" s="37" t="n"/>
      <c r="I18" s="52" t="n">
        <v>2</v>
      </c>
      <c r="J18" s="52">
        <f>IFERROR(INDEX(Base_Func,MATCH(LARGE(Base_FuncPerdaPct,2),Base_FuncPerdaPct,0)),"-")</f>
        <v/>
      </c>
      <c r="K18" s="54">
        <f>IFERROR(LARGE(Base_FuncPerdaPct,2),0)</f>
        <v/>
      </c>
      <c r="L18" s="37" t="n"/>
    </row>
    <row r="19">
      <c r="A19" s="52" t="n">
        <v>3</v>
      </c>
      <c r="B19" s="52">
        <f>IFERROR(INDEX(Base_Prod,MATCH(LARGE(Base_KeyPerda,3),Base_KeyPerda,0)),"-")</f>
        <v/>
      </c>
      <c r="C19" s="53">
        <f>IFERROR(INDEX(Base_ValorPerd,MATCH(LARGE(Base_KeyPerda,3),Base_KeyPerda,0)),0)</f>
        <v/>
      </c>
      <c r="D19" s="37" t="n"/>
      <c r="E19" s="52" t="n">
        <v>3</v>
      </c>
      <c r="F19" s="52">
        <f>IFERROR(INDEX(Base_Prod,MATCH(LARGE(Base_KeyLucro,3),Base_KeyLucro,0)),"-")</f>
        <v/>
      </c>
      <c r="G19" s="53">
        <f>IFERROR(INDEX(Base_Lucro,MATCH(LARGE(Base_KeyLucro,3),Base_KeyLucro,0)),0)</f>
        <v/>
      </c>
      <c r="H19" s="37" t="n"/>
      <c r="I19" s="52" t="n">
        <v>3</v>
      </c>
      <c r="J19" s="52">
        <f>IFERROR(INDEX(Base_Func,MATCH(LARGE(Base_FuncPerdaPct,3),Base_FuncPerdaPct,0)),"-")</f>
        <v/>
      </c>
      <c r="K19" s="54">
        <f>IFERROR(LARGE(Base_FuncPerdaPct,3),0)</f>
        <v/>
      </c>
      <c r="L19" s="37" t="n"/>
    </row>
    <row r="20">
      <c r="A20" s="52" t="n">
        <v>4</v>
      </c>
      <c r="B20" s="52">
        <f>IFERROR(INDEX(Base_Prod,MATCH(LARGE(Base_KeyPerda,4),Base_KeyPerda,0)),"-")</f>
        <v/>
      </c>
      <c r="C20" s="53">
        <f>IFERROR(INDEX(Base_ValorPerd,MATCH(LARGE(Base_KeyPerda,4),Base_KeyPerda,0)),0)</f>
        <v/>
      </c>
      <c r="D20" s="37" t="n"/>
      <c r="E20" s="52" t="n">
        <v>4</v>
      </c>
      <c r="F20" s="52">
        <f>IFERROR(INDEX(Base_Prod,MATCH(LARGE(Base_KeyLucro,4),Base_KeyLucro,0)),"-")</f>
        <v/>
      </c>
      <c r="G20" s="53">
        <f>IFERROR(INDEX(Base_Lucro,MATCH(LARGE(Base_KeyLucro,4),Base_KeyLucro,0)),0)</f>
        <v/>
      </c>
      <c r="H20" s="37" t="n"/>
      <c r="I20" s="52" t="n">
        <v>4</v>
      </c>
      <c r="J20" s="52">
        <f>IFERROR(INDEX(Base_Func,MATCH(LARGE(Base_FuncPerdaPct,4),Base_FuncPerdaPct,0)),"-")</f>
        <v/>
      </c>
      <c r="K20" s="54">
        <f>IFERROR(LARGE(Base_FuncPerdaPct,4),0)</f>
        <v/>
      </c>
      <c r="L20" s="37" t="n"/>
    </row>
    <row r="21">
      <c r="A21" s="52" t="n">
        <v>5</v>
      </c>
      <c r="B21" s="52">
        <f>IFERROR(INDEX(Base_Prod,MATCH(LARGE(Base_KeyPerda,5),Base_KeyPerda,0)),"-")</f>
        <v/>
      </c>
      <c r="C21" s="53">
        <f>IFERROR(INDEX(Base_ValorPerd,MATCH(LARGE(Base_KeyPerda,5),Base_KeyPerda,0)),0)</f>
        <v/>
      </c>
      <c r="D21" s="37" t="n"/>
      <c r="E21" s="52" t="n">
        <v>5</v>
      </c>
      <c r="F21" s="52">
        <f>IFERROR(INDEX(Base_Prod,MATCH(LARGE(Base_KeyLucro,5),Base_KeyLucro,0)),"-")</f>
        <v/>
      </c>
      <c r="G21" s="53">
        <f>IFERROR(INDEX(Base_Lucro,MATCH(LARGE(Base_KeyLucro,5),Base_KeyLucro,0)),0)</f>
        <v/>
      </c>
      <c r="H21" s="37" t="n"/>
      <c r="I21" s="52" t="n">
        <v>5</v>
      </c>
      <c r="J21" s="52">
        <f>IFERROR(INDEX(Base_Func,MATCH(LARGE(Base_FuncPerdaPct,5),Base_FuncPerdaPct,0)),"-")</f>
        <v/>
      </c>
      <c r="K21" s="54">
        <f>IFERROR(LARGE(Base_FuncPerdaPct,5),0)</f>
        <v/>
      </c>
      <c r="L21" s="37" t="n"/>
    </row>
  </sheetData>
  <sheetProtection selectLockedCells="1" selectUnlockedCells="1" sheet="1" objects="0" insertRows="0" insertHyperlinks="1" autoFilter="1" scenarios="0" formatColumns="0" deleteColumns="1" insertColumns="1" pivotTables="1" deleteRows="1" formatCells="0" formatRows="0" sort="1" password="CE4B"/>
  <mergeCells count="30">
    <mergeCell ref="E12:F12"/>
    <mergeCell ref="G12:H12"/>
    <mergeCell ref="C6:D6"/>
    <mergeCell ref="A11:B11"/>
    <mergeCell ref="G11:H11"/>
    <mergeCell ref="C5:D5"/>
    <mergeCell ref="I11:J11"/>
    <mergeCell ref="E5:F5"/>
    <mergeCell ref="G8:H8"/>
    <mergeCell ref="E8:F8"/>
    <mergeCell ref="A6:B6"/>
    <mergeCell ref="A2:L2"/>
    <mergeCell ref="G6:H6"/>
    <mergeCell ref="C9:D9"/>
    <mergeCell ref="E9:F9"/>
    <mergeCell ref="A12:B12"/>
    <mergeCell ref="C12:D12"/>
    <mergeCell ref="I12:J12"/>
    <mergeCell ref="E6:F6"/>
    <mergeCell ref="C11:D11"/>
    <mergeCell ref="E11:F11"/>
    <mergeCell ref="A5:B5"/>
    <mergeCell ref="G5:H5"/>
    <mergeCell ref="I8:J8"/>
    <mergeCell ref="A8:B8"/>
    <mergeCell ref="C8:D8"/>
    <mergeCell ref="A1:L1"/>
    <mergeCell ref="A9:B9"/>
    <mergeCell ref="G9:H9"/>
    <mergeCell ref="I9:J9"/>
  </mergeCells>
  <conditionalFormatting sqref="E9">
    <cfRule type="expression" priority="1" dxfId="3">
      <formula>E9&gt;MetaPerdaMax</formula>
    </cfRule>
    <cfRule type="expression" priority="2" dxfId="4">
      <formula>AND(E9&gt;MetaPerda,E9&lt;=MetaPerdaMax)</formula>
    </cfRule>
    <cfRule type="expression" priority="3" dxfId="5">
      <formula>E9&lt;=MetaPerda</formula>
    </cfRule>
  </conditionalFormatting>
  <conditionalFormatting sqref="G6">
    <cfRule type="expression" priority="4" dxfId="3">
      <formula>$G$6="CRITICO"</formula>
    </cfRule>
    <cfRule type="expression" priority="5" dxfId="4">
      <formula>$G$6="ATENCAO"</formula>
    </cfRule>
    <cfRule type="expression" priority="6" dxfId="5">
      <formula>$G$6="SAUDAVEL"</formula>
    </cfRule>
  </conditionalFormatting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</hyperlinks>
  <pageMargins left="0.75" right="0.75" top="1" bottom="1" header="0.5" footer="0.5"/>
  <drawing xmlns:r="http://schemas.openxmlformats.org/officeDocument/2006/relationships" r:id="rId7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" customWidth="1" min="3" max="3"/>
    <col width="4" customWidth="1" min="4" max="4"/>
    <col hidden="1" width="14" customWidth="1" min="5" max="5"/>
  </cols>
  <sheetData>
    <row r="1" ht="34" customHeight="1">
      <c r="A1" s="6" t="inlineStr">
        <is>
          <t>RELATORIOS FILTRAVEIS</t>
        </is>
      </c>
    </row>
    <row r="2">
      <c r="A2" s="7" t="inlineStr">
        <is>
          <t>Escolha os filtros (deixe em branco para 'todos'). Os totais recalculam sozinhos.</t>
        </is>
      </c>
    </row>
    <row r="3" ht="20" customHeight="1">
      <c r="A3" s="8" t="inlineStr">
        <is>
          <t>Inicio</t>
        </is>
      </c>
      <c r="B3" s="8" t="inlineStr">
        <is>
          <t>Produtos</t>
        </is>
      </c>
      <c r="C3" s="8" t="inlineStr">
        <is>
          <t>Custos</t>
        </is>
      </c>
      <c r="D3" s="8" t="inlineStr">
        <is>
          <t>Fatiamento</t>
        </is>
      </c>
      <c r="E3" s="8" t="inlineStr">
        <is>
          <t>Dashboard</t>
        </is>
      </c>
      <c r="F3" s="9" t="inlineStr">
        <is>
          <t>Relatorios</t>
        </is>
      </c>
    </row>
    <row r="5">
      <c r="A5" s="25" t="inlineStr">
        <is>
          <t>FILTROS</t>
        </is>
      </c>
    </row>
    <row r="6">
      <c r="A6" s="21" t="inlineStr">
        <is>
          <t>Produto</t>
        </is>
      </c>
      <c r="B6" s="55" t="n"/>
      <c r="E6" s="27">
        <f>IF($B6="","*",$B6)</f>
        <v/>
      </c>
    </row>
    <row r="7">
      <c r="A7" s="21" t="inlineStr">
        <is>
          <t>Fornecedor</t>
        </is>
      </c>
      <c r="B7" s="55" t="n"/>
      <c r="E7" s="27">
        <f>IF($B7="","*",$B7)</f>
        <v/>
      </c>
    </row>
    <row r="8">
      <c r="A8" s="21" t="inlineStr">
        <is>
          <t>Funcionario</t>
        </is>
      </c>
      <c r="B8" s="55" t="n"/>
      <c r="E8" s="27">
        <f>IF($B8="","*",$B8)</f>
        <v/>
      </c>
    </row>
    <row r="9">
      <c r="A9" s="21" t="inlineStr">
        <is>
          <t>Marca</t>
        </is>
      </c>
      <c r="B9" s="55" t="n"/>
      <c r="E9" s="27">
        <f>IF($B9="","*",$B9)</f>
        <v/>
      </c>
    </row>
    <row r="10">
      <c r="A10" s="21" t="inlineStr">
        <is>
          <t>Categoria</t>
        </is>
      </c>
      <c r="B10" s="55" t="n"/>
      <c r="E10" s="27">
        <f>IF($B10="","*",$B10)</f>
        <v/>
      </c>
    </row>
    <row r="11">
      <c r="A11" s="21" t="inlineStr">
        <is>
          <t>Data inicio</t>
        </is>
      </c>
      <c r="B11" s="56" t="n"/>
      <c r="E11" s="27">
        <f>IF($B11="",DATE(1900,1,1),$B11)</f>
        <v/>
      </c>
    </row>
    <row r="12">
      <c r="A12" s="21" t="inlineStr">
        <is>
          <t>Data fim</t>
        </is>
      </c>
      <c r="B12" s="56" t="n"/>
      <c r="E12" s="27">
        <f>IF($B12="",DATE(2100,12,31),$B12)</f>
        <v/>
      </c>
    </row>
    <row r="15">
      <c r="A15" s="25" t="inlineStr">
        <is>
          <t>RESULTADO DO PERIODO/FILTRO</t>
        </is>
      </c>
    </row>
    <row r="16">
      <c r="A16" s="57" t="inlineStr">
        <is>
          <t>Total comprado (kg)</t>
        </is>
      </c>
      <c r="B16" s="58">
        <f>SUMIFS(Fat_PesoAntes,Fat_Produto,$E$6,Fat_Fornecedor,$E$7,Fat_Func,$E$8,Fat_Marca,$E$9,Fat_Categoria,$E$10,Fat_Data,"&gt;="&amp;$E$11,Fat_Data,"&lt;="&amp;$E$12)</f>
        <v/>
      </c>
    </row>
    <row r="17">
      <c r="A17" s="57" t="inlineStr">
        <is>
          <t>Total vendido (kg)</t>
        </is>
      </c>
      <c r="B17" s="58">
        <f>SUMIFS(Fat_PesoVend,Fat_Produto,$E$6,Fat_Fornecedor,$E$7,Fat_Func,$E$8,Fat_Marca,$E$9,Fat_Categoria,$E$10,Fat_Data,"&gt;="&amp;$E$11,Fat_Data,"&lt;="&amp;$E$12)</f>
        <v/>
      </c>
    </row>
    <row r="18">
      <c r="A18" s="57" t="inlineStr">
        <is>
          <t>Total perdido (kg)</t>
        </is>
      </c>
      <c r="B18" s="58">
        <f>SUMIFS(Fat_PesoPerd,Fat_Produto,$E$6,Fat_Fornecedor,$E$7,Fat_Func,$E$8,Fat_Marca,$E$9,Fat_Categoria,$E$10,Fat_Data,"&gt;="&amp;$E$11,Fat_Data,"&lt;="&amp;$E$12)</f>
        <v/>
      </c>
    </row>
    <row r="19">
      <c r="A19" s="57" t="inlineStr">
        <is>
          <t>Valor perdido (R$)</t>
        </is>
      </c>
      <c r="B19" s="59">
        <f>SUMIFS(Fat_ValorPerd,Fat_Produto,$E$6,Fat_Fornecedor,$E$7,Fat_Func,$E$8,Fat_Marca,$E$9,Fat_Categoria,$E$10,Fat_Data,"&gt;="&amp;$E$11,Fat_Data,"&lt;="&amp;$E$12)</f>
        <v/>
      </c>
    </row>
    <row r="20">
      <c r="A20" s="57" t="inlineStr">
        <is>
          <t>Receita (R$)</t>
        </is>
      </c>
      <c r="B20" s="59">
        <f>SUMIFS(Fat_Receita,Fat_Produto,$E$6,Fat_Fornecedor,$E$7,Fat_Func,$E$8,Fat_Marca,$E$9,Fat_Categoria,$E$10,Fat_Data,"&gt;="&amp;$E$11,Fat_Data,"&lt;="&amp;$E$12)</f>
        <v/>
      </c>
    </row>
    <row r="21">
      <c r="A21" s="57" t="inlineStr">
        <is>
          <t>Lucro liquido (R$)</t>
        </is>
      </c>
      <c r="B21" s="59">
        <f>SUMIFS(Fat_LucroLiq,Fat_Produto,$E$6,Fat_Fornecedor,$E$7,Fat_Func,$E$8,Fat_Marca,$E$9,Fat_Categoria,$E$10,Fat_Data,"&gt;="&amp;$E$11,Fat_Data,"&lt;="&amp;$E$12)</f>
        <v/>
      </c>
    </row>
    <row r="22">
      <c r="A22" s="57" t="inlineStr">
        <is>
          <t>Margem (%)</t>
        </is>
      </c>
      <c r="B22" s="60">
        <f>IFERROR(B21/B20,0)</f>
        <v/>
      </c>
    </row>
    <row r="23">
      <c r="A23" s="57" t="inlineStr">
        <is>
          <t>% perda</t>
        </is>
      </c>
      <c r="B23" s="60">
        <f>IFERROR(B18/B16,0)</f>
        <v/>
      </c>
    </row>
  </sheetData>
  <sheetProtection selectLockedCells="1" selectUnlockedCells="1" sheet="1" objects="0" insertRows="0" insertHyperlinks="1" autoFilter="1" scenarios="0" formatColumns="0" deleteColumns="1" insertColumns="1" pivotTables="1" deleteRows="1" formatCells="0" formatRows="0" sort="1" password="CE4B"/>
  <mergeCells count="2">
    <mergeCell ref="A2:H2"/>
    <mergeCell ref="A1:H1"/>
  </mergeCells>
  <dataValidations count="5">
    <dataValidation sqref="B6" showDropDown="0" showInputMessage="0" showErrorMessage="0" allowBlank="1" type="list">
      <formula1>=Prod_Nome</formula1>
    </dataValidation>
    <dataValidation sqref="B7" showDropDown="0" showInputMessage="0" showErrorMessage="0" allowBlank="1" type="list">
      <formula1>=ListaFornecedores</formula1>
    </dataValidation>
    <dataValidation sqref="B8" showDropDown="0" showInputMessage="0" showErrorMessage="0" allowBlank="1" type="list">
      <formula1>=ListaFuncionarios</formula1>
    </dataValidation>
    <dataValidation sqref="B9" showDropDown="0" showInputMessage="0" showErrorMessage="0" allowBlank="1" type="list">
      <formula1>=ListaMarcas</formula1>
    </dataValidation>
    <dataValidation sqref="B10" showDropDown="0" showInputMessage="0" showErrorMessage="0" allowBlank="1" type="list">
      <formula1>=ListaCategorias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8" customWidth="1" min="14" max="14"/>
    <col width="13" customWidth="1" min="15" max="15"/>
    <col width="13" customWidth="1" min="16" max="16"/>
    <col width="13" customWidth="1" min="17" max="17"/>
    <col width="18" customWidth="1" min="20" max="20"/>
    <col width="13" customWidth="1" min="21" max="21"/>
    <col width="13" customWidth="1" min="22" max="22"/>
    <col width="13" customWidth="1" min="23" max="23"/>
    <col width="18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61" t="inlineStr">
        <is>
          <t>BASE AUXILIAR (calculos do dashboard - nao editar)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</row>
    <row r="2">
      <c r="A2" s="37" t="n"/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</row>
    <row r="3">
      <c r="A3" s="62" t="inlineStr">
        <is>
          <t>POR PRODUTO</t>
        </is>
      </c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62" t="inlineStr">
        <is>
          <t>POR FUNCIONARIO</t>
        </is>
      </c>
      <c r="O3" s="37" t="n"/>
      <c r="P3" s="37" t="n"/>
      <c r="Q3" s="37" t="n"/>
      <c r="R3" s="37" t="n"/>
      <c r="S3" s="37" t="n"/>
      <c r="T3" s="62" t="inlineStr">
        <is>
          <t>POR FORNECEDOR</t>
        </is>
      </c>
      <c r="U3" s="37" t="n"/>
      <c r="V3" s="37" t="n"/>
      <c r="W3" s="37" t="n"/>
      <c r="X3" s="37" t="n"/>
      <c r="Y3" s="37" t="n"/>
      <c r="Z3" s="62" t="inlineStr">
        <is>
          <t>POR MES</t>
        </is>
      </c>
      <c r="AA3" s="37" t="n"/>
      <c r="AB3" s="37" t="n"/>
      <c r="AC3" s="37" t="n"/>
      <c r="AD3" s="37" t="n"/>
    </row>
    <row r="4">
      <c r="A4" s="51" t="inlineStr">
        <is>
          <t>Produto</t>
        </is>
      </c>
      <c r="B4" s="51" t="inlineStr">
        <is>
          <t>Kg comprado</t>
        </is>
      </c>
      <c r="C4" s="51" t="inlineStr">
        <is>
          <t>Kg vendido</t>
        </is>
      </c>
      <c r="D4" s="51" t="inlineStr">
        <is>
          <t>Kg perdido</t>
        </is>
      </c>
      <c r="E4" s="51" t="inlineStr">
        <is>
          <t>Valor perdido</t>
        </is>
      </c>
      <c r="F4" s="51" t="inlineStr">
        <is>
          <t>Receita</t>
        </is>
      </c>
      <c r="G4" s="51" t="inlineStr">
        <is>
          <t>Lucro liquido</t>
        </is>
      </c>
      <c r="H4" s="51" t="inlineStr">
        <is>
          <t>% perda</t>
        </is>
      </c>
      <c r="I4" s="51" t="inlineStr">
        <is>
          <t>Margem</t>
        </is>
      </c>
      <c r="J4" s="51" t="inlineStr">
        <is>
          <t>rank_perda</t>
        </is>
      </c>
      <c r="K4" s="51" t="inlineStr">
        <is>
          <t>rank_lucro</t>
        </is>
      </c>
      <c r="L4" s="51" t="inlineStr">
        <is>
          <t>Alerta</t>
        </is>
      </c>
      <c r="M4" s="37" t="n"/>
      <c r="N4" s="51" t="inlineStr">
        <is>
          <t>Funcionario</t>
        </is>
      </c>
      <c r="O4" s="51" t="inlineStr">
        <is>
          <t>Kg comprado</t>
        </is>
      </c>
      <c r="P4" s="51" t="inlineStr">
        <is>
          <t>Kg perdido</t>
        </is>
      </c>
      <c r="Q4" s="51" t="inlineStr">
        <is>
          <t>Valor perdido</t>
        </is>
      </c>
      <c r="R4" s="51" t="inlineStr">
        <is>
          <t>% perda</t>
        </is>
      </c>
      <c r="S4" s="37" t="n"/>
      <c r="T4" s="51" t="inlineStr">
        <is>
          <t>Fornecedor</t>
        </is>
      </c>
      <c r="U4" s="51" t="inlineStr">
        <is>
          <t>Kg comprado</t>
        </is>
      </c>
      <c r="V4" s="51" t="inlineStr">
        <is>
          <t>Kg perdido</t>
        </is>
      </c>
      <c r="W4" s="51" t="inlineStr">
        <is>
          <t>Valor perdido</t>
        </is>
      </c>
      <c r="X4" s="51" t="inlineStr">
        <is>
          <t>% perda</t>
        </is>
      </c>
      <c r="Y4" s="37" t="n"/>
      <c r="Z4" s="51" t="inlineStr">
        <is>
          <t>Mes</t>
        </is>
      </c>
      <c r="AA4" s="51" t="inlineStr">
        <is>
          <t>Kg vendido</t>
        </is>
      </c>
      <c r="AB4" s="51" t="inlineStr">
        <is>
          <t>Kg perdido</t>
        </is>
      </c>
      <c r="AC4" s="51" t="inlineStr">
        <is>
          <t>Valor perdido</t>
        </is>
      </c>
      <c r="AD4" s="51" t="inlineStr">
        <is>
          <t>Lucro liquido</t>
        </is>
      </c>
    </row>
    <row r="5">
      <c r="A5" s="52">
        <f>IF('Cadastro Produtos'!$B5="","",'Cadastro Produtos'!$B5)</f>
        <v/>
      </c>
      <c r="B5" s="63">
        <f>IF($A5="","",SUMIFS(Fat_PesoAntes,Fat_Produto,$A5))</f>
        <v/>
      </c>
      <c r="C5" s="63">
        <f>IF($A5="","",SUMIFS(Fat_PesoVend,Fat_Produto,$A5))</f>
        <v/>
      </c>
      <c r="D5" s="63">
        <f>IF($A5="","",SUMIFS(Fat_PesoPerd,Fat_Produto,$A5))</f>
        <v/>
      </c>
      <c r="E5" s="53">
        <f>IF($A5="","",SUMIFS(Fat_ValorPerd,Fat_Produto,$A5))</f>
        <v/>
      </c>
      <c r="F5" s="53">
        <f>IF($A5="","",SUMIFS(Fat_Receita,Fat_Produto,$A5))</f>
        <v/>
      </c>
      <c r="G5" s="53">
        <f>IF($A5="","",SUMIFS(Fat_LucroLiq,Fat_Produto,$A5))</f>
        <v/>
      </c>
      <c r="H5" s="54">
        <f>IF($A5="","",IFERROR($D5/$B5,0))</f>
        <v/>
      </c>
      <c r="I5" s="54">
        <f>IF($A5="","",IFERROR($G5/$F5,0))</f>
        <v/>
      </c>
      <c r="J5" s="52">
        <f>IF($A5="","",$E5+ROW()/1000000)</f>
        <v/>
      </c>
      <c r="K5" s="52">
        <f>IF($A5="","",$G5+ROW()/1000000)</f>
        <v/>
      </c>
      <c r="L5" s="52">
        <f>IF($A5="","",IF($H5&gt;MetaPerdaMax,"ALERTA","OK"))</f>
        <v/>
      </c>
      <c r="M5" s="37" t="n"/>
      <c r="N5" s="52" t="inlineStr">
        <is>
          <t>Joao</t>
        </is>
      </c>
      <c r="O5" s="63">
        <f>SUMIFS(Fat_PesoAntes,Fat_Func,$N5)</f>
        <v/>
      </c>
      <c r="P5" s="63">
        <f>SUMIFS(Fat_PesoPerd,Fat_Func,$N5)</f>
        <v/>
      </c>
      <c r="Q5" s="53">
        <f>SUMIFS(Fat_ValorPerd,Fat_Func,$N5)</f>
        <v/>
      </c>
      <c r="R5" s="54">
        <f>IFERROR($P5/$O5,0)</f>
        <v/>
      </c>
      <c r="S5" s="37" t="n"/>
      <c r="T5" s="52" t="inlineStr">
        <is>
          <t>Distribuidora A</t>
        </is>
      </c>
      <c r="U5" s="63">
        <f>SUMIFS(Fat_PesoAntes,Fat_Fornecedor,$T5)</f>
        <v/>
      </c>
      <c r="V5" s="63">
        <f>SUMIFS(Fat_PesoPerd,Fat_Fornecedor,$T5)</f>
        <v/>
      </c>
      <c r="W5" s="53">
        <f>SUMIFS(Fat_ValorPerd,Fat_Fornecedor,$T5)</f>
        <v/>
      </c>
      <c r="X5" s="54">
        <f>IFERROR($V5/$U5,0)</f>
        <v/>
      </c>
      <c r="Y5" s="37" t="n"/>
      <c r="Z5" s="64" t="n">
        <v>46023</v>
      </c>
      <c r="AA5" s="63">
        <f>SUMIFS(Fat_PesoVend,Fat_Mes,$Z5)</f>
        <v/>
      </c>
      <c r="AB5" s="63">
        <f>SUMIFS(Fat_PesoPerd,Fat_Mes,$Z5)</f>
        <v/>
      </c>
      <c r="AC5" s="53">
        <f>SUMIFS(Fat_ValorPerd,Fat_Mes,$Z5)</f>
        <v/>
      </c>
      <c r="AD5" s="53">
        <f>SUMIFS(Fat_LucroLiq,Fat_Mes,$Z5)</f>
        <v/>
      </c>
    </row>
    <row r="6">
      <c r="A6" s="52">
        <f>IF('Cadastro Produtos'!$B6="","",'Cadastro Produtos'!$B6)</f>
        <v/>
      </c>
      <c r="B6" s="63">
        <f>IF($A6="","",SUMIFS(Fat_PesoAntes,Fat_Produto,$A6))</f>
        <v/>
      </c>
      <c r="C6" s="63">
        <f>IF($A6="","",SUMIFS(Fat_PesoVend,Fat_Produto,$A6))</f>
        <v/>
      </c>
      <c r="D6" s="63">
        <f>IF($A6="","",SUMIFS(Fat_PesoPerd,Fat_Produto,$A6))</f>
        <v/>
      </c>
      <c r="E6" s="53">
        <f>IF($A6="","",SUMIFS(Fat_ValorPerd,Fat_Produto,$A6))</f>
        <v/>
      </c>
      <c r="F6" s="53">
        <f>IF($A6="","",SUMIFS(Fat_Receita,Fat_Produto,$A6))</f>
        <v/>
      </c>
      <c r="G6" s="53">
        <f>IF($A6="","",SUMIFS(Fat_LucroLiq,Fat_Produto,$A6))</f>
        <v/>
      </c>
      <c r="H6" s="54">
        <f>IF($A6="","",IFERROR($D6/$B6,0))</f>
        <v/>
      </c>
      <c r="I6" s="54">
        <f>IF($A6="","",IFERROR($G6/$F6,0))</f>
        <v/>
      </c>
      <c r="J6" s="52">
        <f>IF($A6="","",$E6+ROW()/1000000)</f>
        <v/>
      </c>
      <c r="K6" s="52">
        <f>IF($A6="","",$G6+ROW()/1000000)</f>
        <v/>
      </c>
      <c r="L6" s="52">
        <f>IF($A6="","",IF($H6&gt;MetaPerdaMax,"ALERTA","OK"))</f>
        <v/>
      </c>
      <c r="M6" s="37" t="n"/>
      <c r="N6" s="52" t="inlineStr">
        <is>
          <t>Maria</t>
        </is>
      </c>
      <c r="O6" s="63">
        <f>SUMIFS(Fat_PesoAntes,Fat_Func,$N6)</f>
        <v/>
      </c>
      <c r="P6" s="63">
        <f>SUMIFS(Fat_PesoPerd,Fat_Func,$N6)</f>
        <v/>
      </c>
      <c r="Q6" s="53">
        <f>SUMIFS(Fat_ValorPerd,Fat_Func,$N6)</f>
        <v/>
      </c>
      <c r="R6" s="54">
        <f>IFERROR($P6/$O6,0)</f>
        <v/>
      </c>
      <c r="S6" s="37" t="n"/>
      <c r="T6" s="52" t="inlineStr">
        <is>
          <t>Distribuidora B</t>
        </is>
      </c>
      <c r="U6" s="63">
        <f>SUMIFS(Fat_PesoAntes,Fat_Fornecedor,$T6)</f>
        <v/>
      </c>
      <c r="V6" s="63">
        <f>SUMIFS(Fat_PesoPerd,Fat_Fornecedor,$T6)</f>
        <v/>
      </c>
      <c r="W6" s="53">
        <f>SUMIFS(Fat_ValorPerd,Fat_Fornecedor,$T6)</f>
        <v/>
      </c>
      <c r="X6" s="54">
        <f>IFERROR($V6/$U6,0)</f>
        <v/>
      </c>
      <c r="Y6" s="37" t="n"/>
      <c r="Z6" s="64" t="n">
        <v>46054</v>
      </c>
      <c r="AA6" s="63">
        <f>SUMIFS(Fat_PesoVend,Fat_Mes,$Z6)</f>
        <v/>
      </c>
      <c r="AB6" s="63">
        <f>SUMIFS(Fat_PesoPerd,Fat_Mes,$Z6)</f>
        <v/>
      </c>
      <c r="AC6" s="53">
        <f>SUMIFS(Fat_ValorPerd,Fat_Mes,$Z6)</f>
        <v/>
      </c>
      <c r="AD6" s="53">
        <f>SUMIFS(Fat_LucroLiq,Fat_Mes,$Z6)</f>
        <v/>
      </c>
    </row>
    <row r="7">
      <c r="A7" s="52">
        <f>IF('Cadastro Produtos'!$B7="","",'Cadastro Produtos'!$B7)</f>
        <v/>
      </c>
      <c r="B7" s="63">
        <f>IF($A7="","",SUMIFS(Fat_PesoAntes,Fat_Produto,$A7))</f>
        <v/>
      </c>
      <c r="C7" s="63">
        <f>IF($A7="","",SUMIFS(Fat_PesoVend,Fat_Produto,$A7))</f>
        <v/>
      </c>
      <c r="D7" s="63">
        <f>IF($A7="","",SUMIFS(Fat_PesoPerd,Fat_Produto,$A7))</f>
        <v/>
      </c>
      <c r="E7" s="53">
        <f>IF($A7="","",SUMIFS(Fat_ValorPerd,Fat_Produto,$A7))</f>
        <v/>
      </c>
      <c r="F7" s="53">
        <f>IF($A7="","",SUMIFS(Fat_Receita,Fat_Produto,$A7))</f>
        <v/>
      </c>
      <c r="G7" s="53">
        <f>IF($A7="","",SUMIFS(Fat_LucroLiq,Fat_Produto,$A7))</f>
        <v/>
      </c>
      <c r="H7" s="54">
        <f>IF($A7="","",IFERROR($D7/$B7,0))</f>
        <v/>
      </c>
      <c r="I7" s="54">
        <f>IF($A7="","",IFERROR($G7/$F7,0))</f>
        <v/>
      </c>
      <c r="J7" s="52">
        <f>IF($A7="","",$E7+ROW()/1000000)</f>
        <v/>
      </c>
      <c r="K7" s="52">
        <f>IF($A7="","",$G7+ROW()/1000000)</f>
        <v/>
      </c>
      <c r="L7" s="52">
        <f>IF($A7="","",IF($H7&gt;MetaPerdaMax,"ALERTA","OK"))</f>
        <v/>
      </c>
      <c r="M7" s="37" t="n"/>
      <c r="N7" s="52" t="inlineStr">
        <is>
          <t>Carlos</t>
        </is>
      </c>
      <c r="O7" s="63">
        <f>SUMIFS(Fat_PesoAntes,Fat_Func,$N7)</f>
        <v/>
      </c>
      <c r="P7" s="63">
        <f>SUMIFS(Fat_PesoPerd,Fat_Func,$N7)</f>
        <v/>
      </c>
      <c r="Q7" s="53">
        <f>SUMIFS(Fat_ValorPerd,Fat_Func,$N7)</f>
        <v/>
      </c>
      <c r="R7" s="54">
        <f>IFERROR($P7/$O7,0)</f>
        <v/>
      </c>
      <c r="S7" s="37" t="n"/>
      <c r="T7" s="52" t="inlineStr">
        <is>
          <t>Distribuidora C</t>
        </is>
      </c>
      <c r="U7" s="63">
        <f>SUMIFS(Fat_PesoAntes,Fat_Fornecedor,$T7)</f>
        <v/>
      </c>
      <c r="V7" s="63">
        <f>SUMIFS(Fat_PesoPerd,Fat_Fornecedor,$T7)</f>
        <v/>
      </c>
      <c r="W7" s="53">
        <f>SUMIFS(Fat_ValorPerd,Fat_Fornecedor,$T7)</f>
        <v/>
      </c>
      <c r="X7" s="54">
        <f>IFERROR($V7/$U7,0)</f>
        <v/>
      </c>
      <c r="Y7" s="37" t="n"/>
      <c r="Z7" s="64" t="n">
        <v>46082</v>
      </c>
      <c r="AA7" s="63">
        <f>SUMIFS(Fat_PesoVend,Fat_Mes,$Z7)</f>
        <v/>
      </c>
      <c r="AB7" s="63">
        <f>SUMIFS(Fat_PesoPerd,Fat_Mes,$Z7)</f>
        <v/>
      </c>
      <c r="AC7" s="53">
        <f>SUMIFS(Fat_ValorPerd,Fat_Mes,$Z7)</f>
        <v/>
      </c>
      <c r="AD7" s="53">
        <f>SUMIFS(Fat_LucroLiq,Fat_Mes,$Z7)</f>
        <v/>
      </c>
    </row>
    <row r="8">
      <c r="A8" s="52">
        <f>IF('Cadastro Produtos'!$B8="","",'Cadastro Produtos'!$B8)</f>
        <v/>
      </c>
      <c r="B8" s="63">
        <f>IF($A8="","",SUMIFS(Fat_PesoAntes,Fat_Produto,$A8))</f>
        <v/>
      </c>
      <c r="C8" s="63">
        <f>IF($A8="","",SUMIFS(Fat_PesoVend,Fat_Produto,$A8))</f>
        <v/>
      </c>
      <c r="D8" s="63">
        <f>IF($A8="","",SUMIFS(Fat_PesoPerd,Fat_Produto,$A8))</f>
        <v/>
      </c>
      <c r="E8" s="53">
        <f>IF($A8="","",SUMIFS(Fat_ValorPerd,Fat_Produto,$A8))</f>
        <v/>
      </c>
      <c r="F8" s="53">
        <f>IF($A8="","",SUMIFS(Fat_Receita,Fat_Produto,$A8))</f>
        <v/>
      </c>
      <c r="G8" s="53">
        <f>IF($A8="","",SUMIFS(Fat_LucroLiq,Fat_Produto,$A8))</f>
        <v/>
      </c>
      <c r="H8" s="54">
        <f>IF($A8="","",IFERROR($D8/$B8,0))</f>
        <v/>
      </c>
      <c r="I8" s="54">
        <f>IF($A8="","",IFERROR($G8/$F8,0))</f>
        <v/>
      </c>
      <c r="J8" s="52">
        <f>IF($A8="","",$E8+ROW()/1000000)</f>
        <v/>
      </c>
      <c r="K8" s="52">
        <f>IF($A8="","",$G8+ROW()/1000000)</f>
        <v/>
      </c>
      <c r="L8" s="52">
        <f>IF($A8="","",IF($H8&gt;MetaPerdaMax,"ALERTA","OK"))</f>
        <v/>
      </c>
      <c r="M8" s="37" t="n"/>
      <c r="N8" s="52" t="inlineStr">
        <is>
          <t>Ana</t>
        </is>
      </c>
      <c r="O8" s="63">
        <f>SUMIFS(Fat_PesoAntes,Fat_Func,$N8)</f>
        <v/>
      </c>
      <c r="P8" s="63">
        <f>SUMIFS(Fat_PesoPerd,Fat_Func,$N8)</f>
        <v/>
      </c>
      <c r="Q8" s="53">
        <f>SUMIFS(Fat_ValorPerd,Fat_Func,$N8)</f>
        <v/>
      </c>
      <c r="R8" s="54">
        <f>IFERROR($P8/$O8,0)</f>
        <v/>
      </c>
      <c r="S8" s="37" t="n"/>
      <c r="T8" s="37" t="n"/>
      <c r="U8" s="37" t="n"/>
      <c r="V8" s="37" t="n"/>
      <c r="W8" s="37" t="n"/>
      <c r="X8" s="37" t="n"/>
      <c r="Y8" s="37" t="n"/>
      <c r="Z8" s="64" t="n">
        <v>46113</v>
      </c>
      <c r="AA8" s="63">
        <f>SUMIFS(Fat_PesoVend,Fat_Mes,$Z8)</f>
        <v/>
      </c>
      <c r="AB8" s="63">
        <f>SUMIFS(Fat_PesoPerd,Fat_Mes,$Z8)</f>
        <v/>
      </c>
      <c r="AC8" s="53">
        <f>SUMIFS(Fat_ValorPerd,Fat_Mes,$Z8)</f>
        <v/>
      </c>
      <c r="AD8" s="53">
        <f>SUMIFS(Fat_LucroLiq,Fat_Mes,$Z8)</f>
        <v/>
      </c>
    </row>
    <row r="9">
      <c r="A9" s="52">
        <f>IF('Cadastro Produtos'!$B9="","",'Cadastro Produtos'!$B9)</f>
        <v/>
      </c>
      <c r="B9" s="63">
        <f>IF($A9="","",SUMIFS(Fat_PesoAntes,Fat_Produto,$A9))</f>
        <v/>
      </c>
      <c r="C9" s="63">
        <f>IF($A9="","",SUMIFS(Fat_PesoVend,Fat_Produto,$A9))</f>
        <v/>
      </c>
      <c r="D9" s="63">
        <f>IF($A9="","",SUMIFS(Fat_PesoPerd,Fat_Produto,$A9))</f>
        <v/>
      </c>
      <c r="E9" s="53">
        <f>IF($A9="","",SUMIFS(Fat_ValorPerd,Fat_Produto,$A9))</f>
        <v/>
      </c>
      <c r="F9" s="53">
        <f>IF($A9="","",SUMIFS(Fat_Receita,Fat_Produto,$A9))</f>
        <v/>
      </c>
      <c r="G9" s="53">
        <f>IF($A9="","",SUMIFS(Fat_LucroLiq,Fat_Produto,$A9))</f>
        <v/>
      </c>
      <c r="H9" s="54">
        <f>IF($A9="","",IFERROR($D9/$B9,0))</f>
        <v/>
      </c>
      <c r="I9" s="54">
        <f>IF($A9="","",IFERROR($G9/$F9,0))</f>
        <v/>
      </c>
      <c r="J9" s="52">
        <f>IF($A9="","",$E9+ROW()/1000000)</f>
        <v/>
      </c>
      <c r="K9" s="52">
        <f>IF($A9="","",$G9+ROW()/1000000)</f>
        <v/>
      </c>
      <c r="L9" s="52">
        <f>IF($A9="","",IF($H9&gt;MetaPerdaMax,"ALERTA","OK"))</f>
        <v/>
      </c>
      <c r="M9" s="37" t="n"/>
      <c r="N9" s="52" t="inlineStr">
        <is>
          <t>Pedro</t>
        </is>
      </c>
      <c r="O9" s="63">
        <f>SUMIFS(Fat_PesoAntes,Fat_Func,$N9)</f>
        <v/>
      </c>
      <c r="P9" s="63">
        <f>SUMIFS(Fat_PesoPerd,Fat_Func,$N9)</f>
        <v/>
      </c>
      <c r="Q9" s="53">
        <f>SUMIFS(Fat_ValorPerd,Fat_Func,$N9)</f>
        <v/>
      </c>
      <c r="R9" s="54">
        <f>IFERROR($P9/$O9,0)</f>
        <v/>
      </c>
      <c r="S9" s="37" t="n"/>
      <c r="T9" s="37" t="n"/>
      <c r="U9" s="37" t="n"/>
      <c r="V9" s="37" t="n"/>
      <c r="W9" s="37" t="n"/>
      <c r="X9" s="37" t="n"/>
      <c r="Y9" s="37" t="n"/>
      <c r="Z9" s="64" t="n">
        <v>46143</v>
      </c>
      <c r="AA9" s="63">
        <f>SUMIFS(Fat_PesoVend,Fat_Mes,$Z9)</f>
        <v/>
      </c>
      <c r="AB9" s="63">
        <f>SUMIFS(Fat_PesoPerd,Fat_Mes,$Z9)</f>
        <v/>
      </c>
      <c r="AC9" s="53">
        <f>SUMIFS(Fat_ValorPerd,Fat_Mes,$Z9)</f>
        <v/>
      </c>
      <c r="AD9" s="53">
        <f>SUMIFS(Fat_LucroLiq,Fat_Mes,$Z9)</f>
        <v/>
      </c>
    </row>
    <row r="10">
      <c r="A10" s="52">
        <f>IF('Cadastro Produtos'!$B10="","",'Cadastro Produtos'!$B10)</f>
        <v/>
      </c>
      <c r="B10" s="63">
        <f>IF($A10="","",SUMIFS(Fat_PesoAntes,Fat_Produto,$A10))</f>
        <v/>
      </c>
      <c r="C10" s="63">
        <f>IF($A10="","",SUMIFS(Fat_PesoVend,Fat_Produto,$A10))</f>
        <v/>
      </c>
      <c r="D10" s="63">
        <f>IF($A10="","",SUMIFS(Fat_PesoPerd,Fat_Produto,$A10))</f>
        <v/>
      </c>
      <c r="E10" s="53">
        <f>IF($A10="","",SUMIFS(Fat_ValorPerd,Fat_Produto,$A10))</f>
        <v/>
      </c>
      <c r="F10" s="53">
        <f>IF($A10="","",SUMIFS(Fat_Receita,Fat_Produto,$A10))</f>
        <v/>
      </c>
      <c r="G10" s="53">
        <f>IF($A10="","",SUMIFS(Fat_LucroLiq,Fat_Produto,$A10))</f>
        <v/>
      </c>
      <c r="H10" s="54">
        <f>IF($A10="","",IFERROR($D10/$B10,0))</f>
        <v/>
      </c>
      <c r="I10" s="54">
        <f>IF($A10="","",IFERROR($G10/$F10,0))</f>
        <v/>
      </c>
      <c r="J10" s="52">
        <f>IF($A10="","",$E10+ROW()/1000000)</f>
        <v/>
      </c>
      <c r="K10" s="52">
        <f>IF($A10="","",$G10+ROW()/1000000)</f>
        <v/>
      </c>
      <c r="L10" s="52">
        <f>IF($A10="","",IF($H10&gt;MetaPerdaMax,"ALERTA","OK"))</f>
        <v/>
      </c>
      <c r="M10" s="37" t="n"/>
      <c r="N10" s="52" t="inlineStr">
        <is>
          <t>Rafael</t>
        </is>
      </c>
      <c r="O10" s="63">
        <f>SUMIFS(Fat_PesoAntes,Fat_Func,$N10)</f>
        <v/>
      </c>
      <c r="P10" s="63">
        <f>SUMIFS(Fat_PesoPerd,Fat_Func,$N10)</f>
        <v/>
      </c>
      <c r="Q10" s="53">
        <f>SUMIFS(Fat_ValorPerd,Fat_Func,$N10)</f>
        <v/>
      </c>
      <c r="R10" s="54">
        <f>IFERROR($P10/$O10,0)</f>
        <v/>
      </c>
      <c r="S10" s="37" t="n"/>
      <c r="T10" s="37" t="n"/>
      <c r="U10" s="37" t="n"/>
      <c r="V10" s="37" t="n"/>
      <c r="W10" s="37" t="n"/>
      <c r="X10" s="37" t="n"/>
      <c r="Y10" s="37" t="n"/>
      <c r="Z10" s="64" t="n">
        <v>46174</v>
      </c>
      <c r="AA10" s="63">
        <f>SUMIFS(Fat_PesoVend,Fat_Mes,$Z10)</f>
        <v/>
      </c>
      <c r="AB10" s="63">
        <f>SUMIFS(Fat_PesoPerd,Fat_Mes,$Z10)</f>
        <v/>
      </c>
      <c r="AC10" s="53">
        <f>SUMIFS(Fat_ValorPerd,Fat_Mes,$Z10)</f>
        <v/>
      </c>
      <c r="AD10" s="53">
        <f>SUMIFS(Fat_LucroLiq,Fat_Mes,$Z10)</f>
        <v/>
      </c>
    </row>
    <row r="11">
      <c r="A11" s="52">
        <f>IF('Cadastro Produtos'!$B11="","",'Cadastro Produtos'!$B11)</f>
        <v/>
      </c>
      <c r="B11" s="63">
        <f>IF($A11="","",SUMIFS(Fat_PesoAntes,Fat_Produto,$A11))</f>
        <v/>
      </c>
      <c r="C11" s="63">
        <f>IF($A11="","",SUMIFS(Fat_PesoVend,Fat_Produto,$A11))</f>
        <v/>
      </c>
      <c r="D11" s="63">
        <f>IF($A11="","",SUMIFS(Fat_PesoPerd,Fat_Produto,$A11))</f>
        <v/>
      </c>
      <c r="E11" s="53">
        <f>IF($A11="","",SUMIFS(Fat_ValorPerd,Fat_Produto,$A11))</f>
        <v/>
      </c>
      <c r="F11" s="53">
        <f>IF($A11="","",SUMIFS(Fat_Receita,Fat_Produto,$A11))</f>
        <v/>
      </c>
      <c r="G11" s="53">
        <f>IF($A11="","",SUMIFS(Fat_LucroLiq,Fat_Produto,$A11))</f>
        <v/>
      </c>
      <c r="H11" s="54">
        <f>IF($A11="","",IFERROR($D11/$B11,0))</f>
        <v/>
      </c>
      <c r="I11" s="54">
        <f>IF($A11="","",IFERROR($G11/$F11,0))</f>
        <v/>
      </c>
      <c r="J11" s="52">
        <f>IF($A11="","",$E11+ROW()/1000000)</f>
        <v/>
      </c>
      <c r="K11" s="52">
        <f>IF($A11="","",$G11+ROW()/1000000)</f>
        <v/>
      </c>
      <c r="L11" s="52">
        <f>IF($A11="","",IF($H11&gt;MetaPerdaMax,"ALERTA","OK"))</f>
        <v/>
      </c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64" t="n">
        <v>46204</v>
      </c>
      <c r="AA11" s="63">
        <f>SUMIFS(Fat_PesoVend,Fat_Mes,$Z11)</f>
        <v/>
      </c>
      <c r="AB11" s="63">
        <f>SUMIFS(Fat_PesoPerd,Fat_Mes,$Z11)</f>
        <v/>
      </c>
      <c r="AC11" s="53">
        <f>SUMIFS(Fat_ValorPerd,Fat_Mes,$Z11)</f>
        <v/>
      </c>
      <c r="AD11" s="53">
        <f>SUMIFS(Fat_LucroLiq,Fat_Mes,$Z11)</f>
        <v/>
      </c>
    </row>
    <row r="12">
      <c r="A12" s="52">
        <f>IF('Cadastro Produtos'!$B12="","",'Cadastro Produtos'!$B12)</f>
        <v/>
      </c>
      <c r="B12" s="63">
        <f>IF($A12="","",SUMIFS(Fat_PesoAntes,Fat_Produto,$A12))</f>
        <v/>
      </c>
      <c r="C12" s="63">
        <f>IF($A12="","",SUMIFS(Fat_PesoVend,Fat_Produto,$A12))</f>
        <v/>
      </c>
      <c r="D12" s="63">
        <f>IF($A12="","",SUMIFS(Fat_PesoPerd,Fat_Produto,$A12))</f>
        <v/>
      </c>
      <c r="E12" s="53">
        <f>IF($A12="","",SUMIFS(Fat_ValorPerd,Fat_Produto,$A12))</f>
        <v/>
      </c>
      <c r="F12" s="53">
        <f>IF($A12="","",SUMIFS(Fat_Receita,Fat_Produto,$A12))</f>
        <v/>
      </c>
      <c r="G12" s="53">
        <f>IF($A12="","",SUMIFS(Fat_LucroLiq,Fat_Produto,$A12))</f>
        <v/>
      </c>
      <c r="H12" s="54">
        <f>IF($A12="","",IFERROR($D12/$B12,0))</f>
        <v/>
      </c>
      <c r="I12" s="54">
        <f>IF($A12="","",IFERROR($G12/$F12,0))</f>
        <v/>
      </c>
      <c r="J12" s="52">
        <f>IF($A12="","",$E12+ROW()/1000000)</f>
        <v/>
      </c>
      <c r="K12" s="52">
        <f>IF($A12="","",$G12+ROW()/1000000)</f>
        <v/>
      </c>
      <c r="L12" s="52">
        <f>IF($A12="","",IF($H12&gt;MetaPerdaMax,"ALERTA","OK"))</f>
        <v/>
      </c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64" t="n">
        <v>46235</v>
      </c>
      <c r="AA12" s="63">
        <f>SUMIFS(Fat_PesoVend,Fat_Mes,$Z12)</f>
        <v/>
      </c>
      <c r="AB12" s="63">
        <f>SUMIFS(Fat_PesoPerd,Fat_Mes,$Z12)</f>
        <v/>
      </c>
      <c r="AC12" s="53">
        <f>SUMIFS(Fat_ValorPerd,Fat_Mes,$Z12)</f>
        <v/>
      </c>
      <c r="AD12" s="53">
        <f>SUMIFS(Fat_LucroLiq,Fat_Mes,$Z12)</f>
        <v/>
      </c>
    </row>
    <row r="13">
      <c r="A13" s="52">
        <f>IF('Cadastro Produtos'!$B13="","",'Cadastro Produtos'!$B13)</f>
        <v/>
      </c>
      <c r="B13" s="63">
        <f>IF($A13="","",SUMIFS(Fat_PesoAntes,Fat_Produto,$A13))</f>
        <v/>
      </c>
      <c r="C13" s="63">
        <f>IF($A13="","",SUMIFS(Fat_PesoVend,Fat_Produto,$A13))</f>
        <v/>
      </c>
      <c r="D13" s="63">
        <f>IF($A13="","",SUMIFS(Fat_PesoPerd,Fat_Produto,$A13))</f>
        <v/>
      </c>
      <c r="E13" s="53">
        <f>IF($A13="","",SUMIFS(Fat_ValorPerd,Fat_Produto,$A13))</f>
        <v/>
      </c>
      <c r="F13" s="53">
        <f>IF($A13="","",SUMIFS(Fat_Receita,Fat_Produto,$A13))</f>
        <v/>
      </c>
      <c r="G13" s="53">
        <f>IF($A13="","",SUMIFS(Fat_LucroLiq,Fat_Produto,$A13))</f>
        <v/>
      </c>
      <c r="H13" s="54">
        <f>IF($A13="","",IFERROR($D13/$B13,0))</f>
        <v/>
      </c>
      <c r="I13" s="54">
        <f>IF($A13="","",IFERROR($G13/$F13,0))</f>
        <v/>
      </c>
      <c r="J13" s="52">
        <f>IF($A13="","",$E13+ROW()/1000000)</f>
        <v/>
      </c>
      <c r="K13" s="52">
        <f>IF($A13="","",$G13+ROW()/1000000)</f>
        <v/>
      </c>
      <c r="L13" s="52">
        <f>IF($A13="","",IF($H13&gt;MetaPerdaMax,"ALERTA","OK"))</f>
        <v/>
      </c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64" t="n">
        <v>46266</v>
      </c>
      <c r="AA13" s="63">
        <f>SUMIFS(Fat_PesoVend,Fat_Mes,$Z13)</f>
        <v/>
      </c>
      <c r="AB13" s="63">
        <f>SUMIFS(Fat_PesoPerd,Fat_Mes,$Z13)</f>
        <v/>
      </c>
      <c r="AC13" s="53">
        <f>SUMIFS(Fat_ValorPerd,Fat_Mes,$Z13)</f>
        <v/>
      </c>
      <c r="AD13" s="53">
        <f>SUMIFS(Fat_LucroLiq,Fat_Mes,$Z13)</f>
        <v/>
      </c>
    </row>
    <row r="14">
      <c r="A14" s="52">
        <f>IF('Cadastro Produtos'!$B14="","",'Cadastro Produtos'!$B14)</f>
        <v/>
      </c>
      <c r="B14" s="63">
        <f>IF($A14="","",SUMIFS(Fat_PesoAntes,Fat_Produto,$A14))</f>
        <v/>
      </c>
      <c r="C14" s="63">
        <f>IF($A14="","",SUMIFS(Fat_PesoVend,Fat_Produto,$A14))</f>
        <v/>
      </c>
      <c r="D14" s="63">
        <f>IF($A14="","",SUMIFS(Fat_PesoPerd,Fat_Produto,$A14))</f>
        <v/>
      </c>
      <c r="E14" s="53">
        <f>IF($A14="","",SUMIFS(Fat_ValorPerd,Fat_Produto,$A14))</f>
        <v/>
      </c>
      <c r="F14" s="53">
        <f>IF($A14="","",SUMIFS(Fat_Receita,Fat_Produto,$A14))</f>
        <v/>
      </c>
      <c r="G14" s="53">
        <f>IF($A14="","",SUMIFS(Fat_LucroLiq,Fat_Produto,$A14))</f>
        <v/>
      </c>
      <c r="H14" s="54">
        <f>IF($A14="","",IFERROR($D14/$B14,0))</f>
        <v/>
      </c>
      <c r="I14" s="54">
        <f>IF($A14="","",IFERROR($G14/$F14,0))</f>
        <v/>
      </c>
      <c r="J14" s="52">
        <f>IF($A14="","",$E14+ROW()/1000000)</f>
        <v/>
      </c>
      <c r="K14" s="52">
        <f>IF($A14="","",$G14+ROW()/1000000)</f>
        <v/>
      </c>
      <c r="L14" s="52">
        <f>IF($A14="","",IF($H14&gt;MetaPerdaMax,"ALERTA","OK"))</f>
        <v/>
      </c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64" t="n">
        <v>46296</v>
      </c>
      <c r="AA14" s="63">
        <f>SUMIFS(Fat_PesoVend,Fat_Mes,$Z14)</f>
        <v/>
      </c>
      <c r="AB14" s="63">
        <f>SUMIFS(Fat_PesoPerd,Fat_Mes,$Z14)</f>
        <v/>
      </c>
      <c r="AC14" s="53">
        <f>SUMIFS(Fat_ValorPerd,Fat_Mes,$Z14)</f>
        <v/>
      </c>
      <c r="AD14" s="53">
        <f>SUMIFS(Fat_LucroLiq,Fat_Mes,$Z14)</f>
        <v/>
      </c>
    </row>
    <row r="15">
      <c r="A15" s="52">
        <f>IF('Cadastro Produtos'!$B15="","",'Cadastro Produtos'!$B15)</f>
        <v/>
      </c>
      <c r="B15" s="63">
        <f>IF($A15="","",SUMIFS(Fat_PesoAntes,Fat_Produto,$A15))</f>
        <v/>
      </c>
      <c r="C15" s="63">
        <f>IF($A15="","",SUMIFS(Fat_PesoVend,Fat_Produto,$A15))</f>
        <v/>
      </c>
      <c r="D15" s="63">
        <f>IF($A15="","",SUMIFS(Fat_PesoPerd,Fat_Produto,$A15))</f>
        <v/>
      </c>
      <c r="E15" s="53">
        <f>IF($A15="","",SUMIFS(Fat_ValorPerd,Fat_Produto,$A15))</f>
        <v/>
      </c>
      <c r="F15" s="53">
        <f>IF($A15="","",SUMIFS(Fat_Receita,Fat_Produto,$A15))</f>
        <v/>
      </c>
      <c r="G15" s="53">
        <f>IF($A15="","",SUMIFS(Fat_LucroLiq,Fat_Produto,$A15))</f>
        <v/>
      </c>
      <c r="H15" s="54">
        <f>IF($A15="","",IFERROR($D15/$B15,0))</f>
        <v/>
      </c>
      <c r="I15" s="54">
        <f>IF($A15="","",IFERROR($G15/$F15,0))</f>
        <v/>
      </c>
      <c r="J15" s="52">
        <f>IF($A15="","",$E15+ROW()/1000000)</f>
        <v/>
      </c>
      <c r="K15" s="52">
        <f>IF($A15="","",$G15+ROW()/1000000)</f>
        <v/>
      </c>
      <c r="L15" s="52">
        <f>IF($A15="","",IF($H15&gt;MetaPerdaMax,"ALERTA","OK"))</f>
        <v/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64" t="n">
        <v>46327</v>
      </c>
      <c r="AA15" s="63">
        <f>SUMIFS(Fat_PesoVend,Fat_Mes,$Z15)</f>
        <v/>
      </c>
      <c r="AB15" s="63">
        <f>SUMIFS(Fat_PesoPerd,Fat_Mes,$Z15)</f>
        <v/>
      </c>
      <c r="AC15" s="53">
        <f>SUMIFS(Fat_ValorPerd,Fat_Mes,$Z15)</f>
        <v/>
      </c>
      <c r="AD15" s="53">
        <f>SUMIFS(Fat_LucroLiq,Fat_Mes,$Z15)</f>
        <v/>
      </c>
    </row>
    <row r="16">
      <c r="A16" s="52">
        <f>IF('Cadastro Produtos'!$B16="","",'Cadastro Produtos'!$B16)</f>
        <v/>
      </c>
      <c r="B16" s="63">
        <f>IF($A16="","",SUMIFS(Fat_PesoAntes,Fat_Produto,$A16))</f>
        <v/>
      </c>
      <c r="C16" s="63">
        <f>IF($A16="","",SUMIFS(Fat_PesoVend,Fat_Produto,$A16))</f>
        <v/>
      </c>
      <c r="D16" s="63">
        <f>IF($A16="","",SUMIFS(Fat_PesoPerd,Fat_Produto,$A16))</f>
        <v/>
      </c>
      <c r="E16" s="53">
        <f>IF($A16="","",SUMIFS(Fat_ValorPerd,Fat_Produto,$A16))</f>
        <v/>
      </c>
      <c r="F16" s="53">
        <f>IF($A16="","",SUMIFS(Fat_Receita,Fat_Produto,$A16))</f>
        <v/>
      </c>
      <c r="G16" s="53">
        <f>IF($A16="","",SUMIFS(Fat_LucroLiq,Fat_Produto,$A16))</f>
        <v/>
      </c>
      <c r="H16" s="54">
        <f>IF($A16="","",IFERROR($D16/$B16,0))</f>
        <v/>
      </c>
      <c r="I16" s="54">
        <f>IF($A16="","",IFERROR($G16/$F16,0))</f>
        <v/>
      </c>
      <c r="J16" s="52">
        <f>IF($A16="","",$E16+ROW()/1000000)</f>
        <v/>
      </c>
      <c r="K16" s="52">
        <f>IF($A16="","",$G16+ROW()/1000000)</f>
        <v/>
      </c>
      <c r="L16" s="52">
        <f>IF($A16="","",IF($H16&gt;MetaPerdaMax,"ALERTA","OK"))</f>
        <v/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64" t="n">
        <v>46357</v>
      </c>
      <c r="AA16" s="63">
        <f>SUMIFS(Fat_PesoVend,Fat_Mes,$Z16)</f>
        <v/>
      </c>
      <c r="AB16" s="63">
        <f>SUMIFS(Fat_PesoPerd,Fat_Mes,$Z16)</f>
        <v/>
      </c>
      <c r="AC16" s="53">
        <f>SUMIFS(Fat_ValorPerd,Fat_Mes,$Z16)</f>
        <v/>
      </c>
      <c r="AD16" s="53">
        <f>SUMIFS(Fat_LucroLiq,Fat_Mes,$Z16)</f>
        <v/>
      </c>
    </row>
    <row r="17">
      <c r="A17" s="52">
        <f>IF('Cadastro Produtos'!$B17="","",'Cadastro Produtos'!$B17)</f>
        <v/>
      </c>
      <c r="B17" s="63">
        <f>IF($A17="","",SUMIFS(Fat_PesoAntes,Fat_Produto,$A17))</f>
        <v/>
      </c>
      <c r="C17" s="63">
        <f>IF($A17="","",SUMIFS(Fat_PesoVend,Fat_Produto,$A17))</f>
        <v/>
      </c>
      <c r="D17" s="63">
        <f>IF($A17="","",SUMIFS(Fat_PesoPerd,Fat_Produto,$A17))</f>
        <v/>
      </c>
      <c r="E17" s="53">
        <f>IF($A17="","",SUMIFS(Fat_ValorPerd,Fat_Produto,$A17))</f>
        <v/>
      </c>
      <c r="F17" s="53">
        <f>IF($A17="","",SUMIFS(Fat_Receita,Fat_Produto,$A17))</f>
        <v/>
      </c>
      <c r="G17" s="53">
        <f>IF($A17="","",SUMIFS(Fat_LucroLiq,Fat_Produto,$A17))</f>
        <v/>
      </c>
      <c r="H17" s="54">
        <f>IF($A17="","",IFERROR($D17/$B17,0))</f>
        <v/>
      </c>
      <c r="I17" s="54">
        <f>IF($A17="","",IFERROR($G17/$F17,0))</f>
        <v/>
      </c>
      <c r="J17" s="52">
        <f>IF($A17="","",$E17+ROW()/1000000)</f>
        <v/>
      </c>
      <c r="K17" s="52">
        <f>IF($A17="","",$G17+ROW()/1000000)</f>
        <v/>
      </c>
      <c r="L17" s="52">
        <f>IF($A17="","",IF($H17&gt;MetaPerdaMax,"ALERTA","OK"))</f>
        <v/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</row>
    <row r="18">
      <c r="A18" s="52">
        <f>IF('Cadastro Produtos'!$B18="","",'Cadastro Produtos'!$B18)</f>
        <v/>
      </c>
      <c r="B18" s="63">
        <f>IF($A18="","",SUMIFS(Fat_PesoAntes,Fat_Produto,$A18))</f>
        <v/>
      </c>
      <c r="C18" s="63">
        <f>IF($A18="","",SUMIFS(Fat_PesoVend,Fat_Produto,$A18))</f>
        <v/>
      </c>
      <c r="D18" s="63">
        <f>IF($A18="","",SUMIFS(Fat_PesoPerd,Fat_Produto,$A18))</f>
        <v/>
      </c>
      <c r="E18" s="53">
        <f>IF($A18="","",SUMIFS(Fat_ValorPerd,Fat_Produto,$A18))</f>
        <v/>
      </c>
      <c r="F18" s="53">
        <f>IF($A18="","",SUMIFS(Fat_Receita,Fat_Produto,$A18))</f>
        <v/>
      </c>
      <c r="G18" s="53">
        <f>IF($A18="","",SUMIFS(Fat_LucroLiq,Fat_Produto,$A18))</f>
        <v/>
      </c>
      <c r="H18" s="54">
        <f>IF($A18="","",IFERROR($D18/$B18,0))</f>
        <v/>
      </c>
      <c r="I18" s="54">
        <f>IF($A18="","",IFERROR($G18/$F18,0))</f>
        <v/>
      </c>
      <c r="J18" s="52">
        <f>IF($A18="","",$E18+ROW()/1000000)</f>
        <v/>
      </c>
      <c r="K18" s="52">
        <f>IF($A18="","",$G18+ROW()/1000000)</f>
        <v/>
      </c>
      <c r="L18" s="52">
        <f>IF($A18="","",IF($H18&gt;MetaPerdaMax,"ALERTA","OK"))</f>
        <v/>
      </c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</row>
    <row r="19">
      <c r="A19" s="52">
        <f>IF('Cadastro Produtos'!$B19="","",'Cadastro Produtos'!$B19)</f>
        <v/>
      </c>
      <c r="B19" s="63">
        <f>IF($A19="","",SUMIFS(Fat_PesoAntes,Fat_Produto,$A19))</f>
        <v/>
      </c>
      <c r="C19" s="63">
        <f>IF($A19="","",SUMIFS(Fat_PesoVend,Fat_Produto,$A19))</f>
        <v/>
      </c>
      <c r="D19" s="63">
        <f>IF($A19="","",SUMIFS(Fat_PesoPerd,Fat_Produto,$A19))</f>
        <v/>
      </c>
      <c r="E19" s="53">
        <f>IF($A19="","",SUMIFS(Fat_ValorPerd,Fat_Produto,$A19))</f>
        <v/>
      </c>
      <c r="F19" s="53">
        <f>IF($A19="","",SUMIFS(Fat_Receita,Fat_Produto,$A19))</f>
        <v/>
      </c>
      <c r="G19" s="53">
        <f>IF($A19="","",SUMIFS(Fat_LucroLiq,Fat_Produto,$A19))</f>
        <v/>
      </c>
      <c r="H19" s="54">
        <f>IF($A19="","",IFERROR($D19/$B19,0))</f>
        <v/>
      </c>
      <c r="I19" s="54">
        <f>IF($A19="","",IFERROR($G19/$F19,0))</f>
        <v/>
      </c>
      <c r="J19" s="52">
        <f>IF($A19="","",$E19+ROW()/1000000)</f>
        <v/>
      </c>
      <c r="K19" s="52">
        <f>IF($A19="","",$G19+ROW()/1000000)</f>
        <v/>
      </c>
      <c r="L19" s="52">
        <f>IF($A19="","",IF($H19&gt;MetaPerdaMax,"ALERTA","OK"))</f>
        <v/>
      </c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</row>
    <row r="20">
      <c r="A20" s="52">
        <f>IF('Cadastro Produtos'!$B20="","",'Cadastro Produtos'!$B20)</f>
        <v/>
      </c>
      <c r="B20" s="63">
        <f>IF($A20="","",SUMIFS(Fat_PesoAntes,Fat_Produto,$A20))</f>
        <v/>
      </c>
      <c r="C20" s="63">
        <f>IF($A20="","",SUMIFS(Fat_PesoVend,Fat_Produto,$A20))</f>
        <v/>
      </c>
      <c r="D20" s="63">
        <f>IF($A20="","",SUMIFS(Fat_PesoPerd,Fat_Produto,$A20))</f>
        <v/>
      </c>
      <c r="E20" s="53">
        <f>IF($A20="","",SUMIFS(Fat_ValorPerd,Fat_Produto,$A20))</f>
        <v/>
      </c>
      <c r="F20" s="53">
        <f>IF($A20="","",SUMIFS(Fat_Receita,Fat_Produto,$A20))</f>
        <v/>
      </c>
      <c r="G20" s="53">
        <f>IF($A20="","",SUMIFS(Fat_LucroLiq,Fat_Produto,$A20))</f>
        <v/>
      </c>
      <c r="H20" s="54">
        <f>IF($A20="","",IFERROR($D20/$B20,0))</f>
        <v/>
      </c>
      <c r="I20" s="54">
        <f>IF($A20="","",IFERROR($G20/$F20,0))</f>
        <v/>
      </c>
      <c r="J20" s="52">
        <f>IF($A20="","",$E20+ROW()/1000000)</f>
        <v/>
      </c>
      <c r="K20" s="52">
        <f>IF($A20="","",$G20+ROW()/1000000)</f>
        <v/>
      </c>
      <c r="L20" s="52">
        <f>IF($A20="","",IF($H20&gt;MetaPerdaMax,"ALERTA","OK"))</f>
        <v/>
      </c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</row>
    <row r="21">
      <c r="A21" s="52">
        <f>IF('Cadastro Produtos'!$B21="","",'Cadastro Produtos'!$B21)</f>
        <v/>
      </c>
      <c r="B21" s="63">
        <f>IF($A21="","",SUMIFS(Fat_PesoAntes,Fat_Produto,$A21))</f>
        <v/>
      </c>
      <c r="C21" s="63">
        <f>IF($A21="","",SUMIFS(Fat_PesoVend,Fat_Produto,$A21))</f>
        <v/>
      </c>
      <c r="D21" s="63">
        <f>IF($A21="","",SUMIFS(Fat_PesoPerd,Fat_Produto,$A21))</f>
        <v/>
      </c>
      <c r="E21" s="53">
        <f>IF($A21="","",SUMIFS(Fat_ValorPerd,Fat_Produto,$A21))</f>
        <v/>
      </c>
      <c r="F21" s="53">
        <f>IF($A21="","",SUMIFS(Fat_Receita,Fat_Produto,$A21))</f>
        <v/>
      </c>
      <c r="G21" s="53">
        <f>IF($A21="","",SUMIFS(Fat_LucroLiq,Fat_Produto,$A21))</f>
        <v/>
      </c>
      <c r="H21" s="54">
        <f>IF($A21="","",IFERROR($D21/$B21,0))</f>
        <v/>
      </c>
      <c r="I21" s="54">
        <f>IF($A21="","",IFERROR($G21/$F21,0))</f>
        <v/>
      </c>
      <c r="J21" s="52">
        <f>IF($A21="","",$E21+ROW()/1000000)</f>
        <v/>
      </c>
      <c r="K21" s="52">
        <f>IF($A21="","",$G21+ROW()/1000000)</f>
        <v/>
      </c>
      <c r="L21" s="52">
        <f>IF($A21="","",IF($H21&gt;MetaPerdaMax,"ALERTA","OK"))</f>
        <v/>
      </c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</row>
    <row r="22">
      <c r="A22" s="52">
        <f>IF('Cadastro Produtos'!$B22="","",'Cadastro Produtos'!$B22)</f>
        <v/>
      </c>
      <c r="B22" s="63">
        <f>IF($A22="","",SUMIFS(Fat_PesoAntes,Fat_Produto,$A22))</f>
        <v/>
      </c>
      <c r="C22" s="63">
        <f>IF($A22="","",SUMIFS(Fat_PesoVend,Fat_Produto,$A22))</f>
        <v/>
      </c>
      <c r="D22" s="63">
        <f>IF($A22="","",SUMIFS(Fat_PesoPerd,Fat_Produto,$A22))</f>
        <v/>
      </c>
      <c r="E22" s="53">
        <f>IF($A22="","",SUMIFS(Fat_ValorPerd,Fat_Produto,$A22))</f>
        <v/>
      </c>
      <c r="F22" s="53">
        <f>IF($A22="","",SUMIFS(Fat_Receita,Fat_Produto,$A22))</f>
        <v/>
      </c>
      <c r="G22" s="53">
        <f>IF($A22="","",SUMIFS(Fat_LucroLiq,Fat_Produto,$A22))</f>
        <v/>
      </c>
      <c r="H22" s="54">
        <f>IF($A22="","",IFERROR($D22/$B22,0))</f>
        <v/>
      </c>
      <c r="I22" s="54">
        <f>IF($A22="","",IFERROR($G22/$F22,0))</f>
        <v/>
      </c>
      <c r="J22" s="52">
        <f>IF($A22="","",$E22+ROW()/1000000)</f>
        <v/>
      </c>
      <c r="K22" s="52">
        <f>IF($A22="","",$G22+ROW()/1000000)</f>
        <v/>
      </c>
      <c r="L22" s="52">
        <f>IF($A22="","",IF($H22&gt;MetaPerdaMax,"ALERTA","OK"))</f>
        <v/>
      </c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</row>
    <row r="23">
      <c r="A23" s="52">
        <f>IF('Cadastro Produtos'!$B23="","",'Cadastro Produtos'!$B23)</f>
        <v/>
      </c>
      <c r="B23" s="63">
        <f>IF($A23="","",SUMIFS(Fat_PesoAntes,Fat_Produto,$A23))</f>
        <v/>
      </c>
      <c r="C23" s="63">
        <f>IF($A23="","",SUMIFS(Fat_PesoVend,Fat_Produto,$A23))</f>
        <v/>
      </c>
      <c r="D23" s="63">
        <f>IF($A23="","",SUMIFS(Fat_PesoPerd,Fat_Produto,$A23))</f>
        <v/>
      </c>
      <c r="E23" s="53">
        <f>IF($A23="","",SUMIFS(Fat_ValorPerd,Fat_Produto,$A23))</f>
        <v/>
      </c>
      <c r="F23" s="53">
        <f>IF($A23="","",SUMIFS(Fat_Receita,Fat_Produto,$A23))</f>
        <v/>
      </c>
      <c r="G23" s="53">
        <f>IF($A23="","",SUMIFS(Fat_LucroLiq,Fat_Produto,$A23))</f>
        <v/>
      </c>
      <c r="H23" s="54">
        <f>IF($A23="","",IFERROR($D23/$B23,0))</f>
        <v/>
      </c>
      <c r="I23" s="54">
        <f>IF($A23="","",IFERROR($G23/$F23,0))</f>
        <v/>
      </c>
      <c r="J23" s="52">
        <f>IF($A23="","",$E23+ROW()/1000000)</f>
        <v/>
      </c>
      <c r="K23" s="52">
        <f>IF($A23="","",$G23+ROW()/1000000)</f>
        <v/>
      </c>
      <c r="L23" s="52">
        <f>IF($A23="","",IF($H23&gt;MetaPerdaMax,"ALERTA","OK"))</f>
        <v/>
      </c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</row>
    <row r="24">
      <c r="A24" s="52">
        <f>IF('Cadastro Produtos'!$B24="","",'Cadastro Produtos'!$B24)</f>
        <v/>
      </c>
      <c r="B24" s="63">
        <f>IF($A24="","",SUMIFS(Fat_PesoAntes,Fat_Produto,$A24))</f>
        <v/>
      </c>
      <c r="C24" s="63">
        <f>IF($A24="","",SUMIFS(Fat_PesoVend,Fat_Produto,$A24))</f>
        <v/>
      </c>
      <c r="D24" s="63">
        <f>IF($A24="","",SUMIFS(Fat_PesoPerd,Fat_Produto,$A24))</f>
        <v/>
      </c>
      <c r="E24" s="53">
        <f>IF($A24="","",SUMIFS(Fat_ValorPerd,Fat_Produto,$A24))</f>
        <v/>
      </c>
      <c r="F24" s="53">
        <f>IF($A24="","",SUMIFS(Fat_Receita,Fat_Produto,$A24))</f>
        <v/>
      </c>
      <c r="G24" s="53">
        <f>IF($A24="","",SUMIFS(Fat_LucroLiq,Fat_Produto,$A24))</f>
        <v/>
      </c>
      <c r="H24" s="54">
        <f>IF($A24="","",IFERROR($D24/$B24,0))</f>
        <v/>
      </c>
      <c r="I24" s="54">
        <f>IF($A24="","",IFERROR($G24/$F24,0))</f>
        <v/>
      </c>
      <c r="J24" s="52">
        <f>IF($A24="","",$E24+ROW()/1000000)</f>
        <v/>
      </c>
      <c r="K24" s="52">
        <f>IF($A24="","",$G24+ROW()/1000000)</f>
        <v/>
      </c>
      <c r="L24" s="52">
        <f>IF($A24="","",IF($H24&gt;MetaPerdaMax,"ALERTA","OK"))</f>
        <v/>
      </c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</row>
    <row r="25">
      <c r="A25" s="52">
        <f>IF('Cadastro Produtos'!$B25="","",'Cadastro Produtos'!$B25)</f>
        <v/>
      </c>
      <c r="B25" s="63">
        <f>IF($A25="","",SUMIFS(Fat_PesoAntes,Fat_Produto,$A25))</f>
        <v/>
      </c>
      <c r="C25" s="63">
        <f>IF($A25="","",SUMIFS(Fat_PesoVend,Fat_Produto,$A25))</f>
        <v/>
      </c>
      <c r="D25" s="63">
        <f>IF($A25="","",SUMIFS(Fat_PesoPerd,Fat_Produto,$A25))</f>
        <v/>
      </c>
      <c r="E25" s="53">
        <f>IF($A25="","",SUMIFS(Fat_ValorPerd,Fat_Produto,$A25))</f>
        <v/>
      </c>
      <c r="F25" s="53">
        <f>IF($A25="","",SUMIFS(Fat_Receita,Fat_Produto,$A25))</f>
        <v/>
      </c>
      <c r="G25" s="53">
        <f>IF($A25="","",SUMIFS(Fat_LucroLiq,Fat_Produto,$A25))</f>
        <v/>
      </c>
      <c r="H25" s="54">
        <f>IF($A25="","",IFERROR($D25/$B25,0))</f>
        <v/>
      </c>
      <c r="I25" s="54">
        <f>IF($A25="","",IFERROR($G25/$F25,0))</f>
        <v/>
      </c>
      <c r="J25" s="52">
        <f>IF($A25="","",$E25+ROW()/1000000)</f>
        <v/>
      </c>
      <c r="K25" s="52">
        <f>IF($A25="","",$G25+ROW()/1000000)</f>
        <v/>
      </c>
      <c r="L25" s="52">
        <f>IF($A25="","",IF($H25&gt;MetaPerdaMax,"ALERTA","OK"))</f>
        <v/>
      </c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</row>
    <row r="26">
      <c r="A26" s="52">
        <f>IF('Cadastro Produtos'!$B26="","",'Cadastro Produtos'!$B26)</f>
        <v/>
      </c>
      <c r="B26" s="63">
        <f>IF($A26="","",SUMIFS(Fat_PesoAntes,Fat_Produto,$A26))</f>
        <v/>
      </c>
      <c r="C26" s="63">
        <f>IF($A26="","",SUMIFS(Fat_PesoVend,Fat_Produto,$A26))</f>
        <v/>
      </c>
      <c r="D26" s="63">
        <f>IF($A26="","",SUMIFS(Fat_PesoPerd,Fat_Produto,$A26))</f>
        <v/>
      </c>
      <c r="E26" s="53">
        <f>IF($A26="","",SUMIFS(Fat_ValorPerd,Fat_Produto,$A26))</f>
        <v/>
      </c>
      <c r="F26" s="53">
        <f>IF($A26="","",SUMIFS(Fat_Receita,Fat_Produto,$A26))</f>
        <v/>
      </c>
      <c r="G26" s="53">
        <f>IF($A26="","",SUMIFS(Fat_LucroLiq,Fat_Produto,$A26))</f>
        <v/>
      </c>
      <c r="H26" s="54">
        <f>IF($A26="","",IFERROR($D26/$B26,0))</f>
        <v/>
      </c>
      <c r="I26" s="54">
        <f>IF($A26="","",IFERROR($G26/$F26,0))</f>
        <v/>
      </c>
      <c r="J26" s="52">
        <f>IF($A26="","",$E26+ROW()/1000000)</f>
        <v/>
      </c>
      <c r="K26" s="52">
        <f>IF($A26="","",$G26+ROW()/1000000)</f>
        <v/>
      </c>
      <c r="L26" s="52">
        <f>IF($A26="","",IF($H26&gt;MetaPerdaMax,"ALERTA","OK"))</f>
        <v/>
      </c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</row>
    <row r="27">
      <c r="A27" s="52">
        <f>IF('Cadastro Produtos'!$B27="","",'Cadastro Produtos'!$B27)</f>
        <v/>
      </c>
      <c r="B27" s="63">
        <f>IF($A27="","",SUMIFS(Fat_PesoAntes,Fat_Produto,$A27))</f>
        <v/>
      </c>
      <c r="C27" s="63">
        <f>IF($A27="","",SUMIFS(Fat_PesoVend,Fat_Produto,$A27))</f>
        <v/>
      </c>
      <c r="D27" s="63">
        <f>IF($A27="","",SUMIFS(Fat_PesoPerd,Fat_Produto,$A27))</f>
        <v/>
      </c>
      <c r="E27" s="53">
        <f>IF($A27="","",SUMIFS(Fat_ValorPerd,Fat_Produto,$A27))</f>
        <v/>
      </c>
      <c r="F27" s="53">
        <f>IF($A27="","",SUMIFS(Fat_Receita,Fat_Produto,$A27))</f>
        <v/>
      </c>
      <c r="G27" s="53">
        <f>IF($A27="","",SUMIFS(Fat_LucroLiq,Fat_Produto,$A27))</f>
        <v/>
      </c>
      <c r="H27" s="54">
        <f>IF($A27="","",IFERROR($D27/$B27,0))</f>
        <v/>
      </c>
      <c r="I27" s="54">
        <f>IF($A27="","",IFERROR($G27/$F27,0))</f>
        <v/>
      </c>
      <c r="J27" s="52">
        <f>IF($A27="","",$E27+ROW()/1000000)</f>
        <v/>
      </c>
      <c r="K27" s="52">
        <f>IF($A27="","",$G27+ROW()/1000000)</f>
        <v/>
      </c>
      <c r="L27" s="52">
        <f>IF($A27="","",IF($H27&gt;MetaPerdaMax,"ALERTA","OK"))</f>
        <v/>
      </c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</row>
    <row r="28">
      <c r="A28" s="52">
        <f>IF('Cadastro Produtos'!$B28="","",'Cadastro Produtos'!$B28)</f>
        <v/>
      </c>
      <c r="B28" s="63">
        <f>IF($A28="","",SUMIFS(Fat_PesoAntes,Fat_Produto,$A28))</f>
        <v/>
      </c>
      <c r="C28" s="63">
        <f>IF($A28="","",SUMIFS(Fat_PesoVend,Fat_Produto,$A28))</f>
        <v/>
      </c>
      <c r="D28" s="63">
        <f>IF($A28="","",SUMIFS(Fat_PesoPerd,Fat_Produto,$A28))</f>
        <v/>
      </c>
      <c r="E28" s="53">
        <f>IF($A28="","",SUMIFS(Fat_ValorPerd,Fat_Produto,$A28))</f>
        <v/>
      </c>
      <c r="F28" s="53">
        <f>IF($A28="","",SUMIFS(Fat_Receita,Fat_Produto,$A28))</f>
        <v/>
      </c>
      <c r="G28" s="53">
        <f>IF($A28="","",SUMIFS(Fat_LucroLiq,Fat_Produto,$A28))</f>
        <v/>
      </c>
      <c r="H28" s="54">
        <f>IF($A28="","",IFERROR($D28/$B28,0))</f>
        <v/>
      </c>
      <c r="I28" s="54">
        <f>IF($A28="","",IFERROR($G28/$F28,0))</f>
        <v/>
      </c>
      <c r="J28" s="52">
        <f>IF($A28="","",$E28+ROW()/1000000)</f>
        <v/>
      </c>
      <c r="K28" s="52">
        <f>IF($A28="","",$G28+ROW()/1000000)</f>
        <v/>
      </c>
      <c r="L28" s="52">
        <f>IF($A28="","",IF($H28&gt;MetaPerdaMax,"ALERTA","OK"))</f>
        <v/>
      </c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</row>
    <row r="29">
      <c r="A29" s="52">
        <f>IF('Cadastro Produtos'!$B29="","",'Cadastro Produtos'!$B29)</f>
        <v/>
      </c>
      <c r="B29" s="63">
        <f>IF($A29="","",SUMIFS(Fat_PesoAntes,Fat_Produto,$A29))</f>
        <v/>
      </c>
      <c r="C29" s="63">
        <f>IF($A29="","",SUMIFS(Fat_PesoVend,Fat_Produto,$A29))</f>
        <v/>
      </c>
      <c r="D29" s="63">
        <f>IF($A29="","",SUMIFS(Fat_PesoPerd,Fat_Produto,$A29))</f>
        <v/>
      </c>
      <c r="E29" s="53">
        <f>IF($A29="","",SUMIFS(Fat_ValorPerd,Fat_Produto,$A29))</f>
        <v/>
      </c>
      <c r="F29" s="53">
        <f>IF($A29="","",SUMIFS(Fat_Receita,Fat_Produto,$A29))</f>
        <v/>
      </c>
      <c r="G29" s="53">
        <f>IF($A29="","",SUMIFS(Fat_LucroLiq,Fat_Produto,$A29))</f>
        <v/>
      </c>
      <c r="H29" s="54">
        <f>IF($A29="","",IFERROR($D29/$B29,0))</f>
        <v/>
      </c>
      <c r="I29" s="54">
        <f>IF($A29="","",IFERROR($G29/$F29,0))</f>
        <v/>
      </c>
      <c r="J29" s="52">
        <f>IF($A29="","",$E29+ROW()/1000000)</f>
        <v/>
      </c>
      <c r="K29" s="52">
        <f>IF($A29="","",$G29+ROW()/1000000)</f>
        <v/>
      </c>
      <c r="L29" s="52">
        <f>IF($A29="","",IF($H29&gt;MetaPerdaMax,"ALERTA","OK"))</f>
        <v/>
      </c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</row>
    <row r="30">
      <c r="A30" s="52">
        <f>IF('Cadastro Produtos'!$B30="","",'Cadastro Produtos'!$B30)</f>
        <v/>
      </c>
      <c r="B30" s="63">
        <f>IF($A30="","",SUMIFS(Fat_PesoAntes,Fat_Produto,$A30))</f>
        <v/>
      </c>
      <c r="C30" s="63">
        <f>IF($A30="","",SUMIFS(Fat_PesoVend,Fat_Produto,$A30))</f>
        <v/>
      </c>
      <c r="D30" s="63">
        <f>IF($A30="","",SUMIFS(Fat_PesoPerd,Fat_Produto,$A30))</f>
        <v/>
      </c>
      <c r="E30" s="53">
        <f>IF($A30="","",SUMIFS(Fat_ValorPerd,Fat_Produto,$A30))</f>
        <v/>
      </c>
      <c r="F30" s="53">
        <f>IF($A30="","",SUMIFS(Fat_Receita,Fat_Produto,$A30))</f>
        <v/>
      </c>
      <c r="G30" s="53">
        <f>IF($A30="","",SUMIFS(Fat_LucroLiq,Fat_Produto,$A30))</f>
        <v/>
      </c>
      <c r="H30" s="54">
        <f>IF($A30="","",IFERROR($D30/$B30,0))</f>
        <v/>
      </c>
      <c r="I30" s="54">
        <f>IF($A30="","",IFERROR($G30/$F30,0))</f>
        <v/>
      </c>
      <c r="J30" s="52">
        <f>IF($A30="","",$E30+ROW()/1000000)</f>
        <v/>
      </c>
      <c r="K30" s="52">
        <f>IF($A30="","",$G30+ROW()/1000000)</f>
        <v/>
      </c>
      <c r="L30" s="52">
        <f>IF($A30="","",IF($H30&gt;MetaPerdaMax,"ALERTA","OK"))</f>
        <v/>
      </c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</row>
    <row r="31">
      <c r="A31" s="52">
        <f>IF('Cadastro Produtos'!$B31="","",'Cadastro Produtos'!$B31)</f>
        <v/>
      </c>
      <c r="B31" s="63">
        <f>IF($A31="","",SUMIFS(Fat_PesoAntes,Fat_Produto,$A31))</f>
        <v/>
      </c>
      <c r="C31" s="63">
        <f>IF($A31="","",SUMIFS(Fat_PesoVend,Fat_Produto,$A31))</f>
        <v/>
      </c>
      <c r="D31" s="63">
        <f>IF($A31="","",SUMIFS(Fat_PesoPerd,Fat_Produto,$A31))</f>
        <v/>
      </c>
      <c r="E31" s="53">
        <f>IF($A31="","",SUMIFS(Fat_ValorPerd,Fat_Produto,$A31))</f>
        <v/>
      </c>
      <c r="F31" s="53">
        <f>IF($A31="","",SUMIFS(Fat_Receita,Fat_Produto,$A31))</f>
        <v/>
      </c>
      <c r="G31" s="53">
        <f>IF($A31="","",SUMIFS(Fat_LucroLiq,Fat_Produto,$A31))</f>
        <v/>
      </c>
      <c r="H31" s="54">
        <f>IF($A31="","",IFERROR($D31/$B31,0))</f>
        <v/>
      </c>
      <c r="I31" s="54">
        <f>IF($A31="","",IFERROR($G31/$F31,0))</f>
        <v/>
      </c>
      <c r="J31" s="52">
        <f>IF($A31="","",$E31+ROW()/1000000)</f>
        <v/>
      </c>
      <c r="K31" s="52">
        <f>IF($A31="","",$G31+ROW()/1000000)</f>
        <v/>
      </c>
      <c r="L31" s="52">
        <f>IF($A31="","",IF($H31&gt;MetaPerdaMax,"ALERTA","OK"))</f>
        <v/>
      </c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</row>
    <row r="32">
      <c r="A32" s="52">
        <f>IF('Cadastro Produtos'!$B32="","",'Cadastro Produtos'!$B32)</f>
        <v/>
      </c>
      <c r="B32" s="63">
        <f>IF($A32="","",SUMIFS(Fat_PesoAntes,Fat_Produto,$A32))</f>
        <v/>
      </c>
      <c r="C32" s="63">
        <f>IF($A32="","",SUMIFS(Fat_PesoVend,Fat_Produto,$A32))</f>
        <v/>
      </c>
      <c r="D32" s="63">
        <f>IF($A32="","",SUMIFS(Fat_PesoPerd,Fat_Produto,$A32))</f>
        <v/>
      </c>
      <c r="E32" s="53">
        <f>IF($A32="","",SUMIFS(Fat_ValorPerd,Fat_Produto,$A32))</f>
        <v/>
      </c>
      <c r="F32" s="53">
        <f>IF($A32="","",SUMIFS(Fat_Receita,Fat_Produto,$A32))</f>
        <v/>
      </c>
      <c r="G32" s="53">
        <f>IF($A32="","",SUMIFS(Fat_LucroLiq,Fat_Produto,$A32))</f>
        <v/>
      </c>
      <c r="H32" s="54">
        <f>IF($A32="","",IFERROR($D32/$B32,0))</f>
        <v/>
      </c>
      <c r="I32" s="54">
        <f>IF($A32="","",IFERROR($G32/$F32,0))</f>
        <v/>
      </c>
      <c r="J32" s="52">
        <f>IF($A32="","",$E32+ROW()/1000000)</f>
        <v/>
      </c>
      <c r="K32" s="52">
        <f>IF($A32="","",$G32+ROW()/1000000)</f>
        <v/>
      </c>
      <c r="L32" s="52">
        <f>IF($A32="","",IF($H32&gt;MetaPerdaMax,"ALERTA","OK"))</f>
        <v/>
      </c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</row>
    <row r="33">
      <c r="A33" s="52">
        <f>IF('Cadastro Produtos'!$B33="","",'Cadastro Produtos'!$B33)</f>
        <v/>
      </c>
      <c r="B33" s="63">
        <f>IF($A33="","",SUMIFS(Fat_PesoAntes,Fat_Produto,$A33))</f>
        <v/>
      </c>
      <c r="C33" s="63">
        <f>IF($A33="","",SUMIFS(Fat_PesoVend,Fat_Produto,$A33))</f>
        <v/>
      </c>
      <c r="D33" s="63">
        <f>IF($A33="","",SUMIFS(Fat_PesoPerd,Fat_Produto,$A33))</f>
        <v/>
      </c>
      <c r="E33" s="53">
        <f>IF($A33="","",SUMIFS(Fat_ValorPerd,Fat_Produto,$A33))</f>
        <v/>
      </c>
      <c r="F33" s="53">
        <f>IF($A33="","",SUMIFS(Fat_Receita,Fat_Produto,$A33))</f>
        <v/>
      </c>
      <c r="G33" s="53">
        <f>IF($A33="","",SUMIFS(Fat_LucroLiq,Fat_Produto,$A33))</f>
        <v/>
      </c>
      <c r="H33" s="54">
        <f>IF($A33="","",IFERROR($D33/$B33,0))</f>
        <v/>
      </c>
      <c r="I33" s="54">
        <f>IF($A33="","",IFERROR($G33/$F33,0))</f>
        <v/>
      </c>
      <c r="J33" s="52">
        <f>IF($A33="","",$E33+ROW()/1000000)</f>
        <v/>
      </c>
      <c r="K33" s="52">
        <f>IF($A33="","",$G33+ROW()/1000000)</f>
        <v/>
      </c>
      <c r="L33" s="52">
        <f>IF($A33="","",IF($H33&gt;MetaPerdaMax,"ALERTA","OK"))</f>
        <v/>
      </c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</row>
    <row r="34">
      <c r="A34" s="52">
        <f>IF('Cadastro Produtos'!$B34="","",'Cadastro Produtos'!$B34)</f>
        <v/>
      </c>
      <c r="B34" s="63">
        <f>IF($A34="","",SUMIFS(Fat_PesoAntes,Fat_Produto,$A34))</f>
        <v/>
      </c>
      <c r="C34" s="63">
        <f>IF($A34="","",SUMIFS(Fat_PesoVend,Fat_Produto,$A34))</f>
        <v/>
      </c>
      <c r="D34" s="63">
        <f>IF($A34="","",SUMIFS(Fat_PesoPerd,Fat_Produto,$A34))</f>
        <v/>
      </c>
      <c r="E34" s="53">
        <f>IF($A34="","",SUMIFS(Fat_ValorPerd,Fat_Produto,$A34))</f>
        <v/>
      </c>
      <c r="F34" s="53">
        <f>IF($A34="","",SUMIFS(Fat_Receita,Fat_Produto,$A34))</f>
        <v/>
      </c>
      <c r="G34" s="53">
        <f>IF($A34="","",SUMIFS(Fat_LucroLiq,Fat_Produto,$A34))</f>
        <v/>
      </c>
      <c r="H34" s="54">
        <f>IF($A34="","",IFERROR($D34/$B34,0))</f>
        <v/>
      </c>
      <c r="I34" s="54">
        <f>IF($A34="","",IFERROR($G34/$F34,0))</f>
        <v/>
      </c>
      <c r="J34" s="52">
        <f>IF($A34="","",$E34+ROW()/1000000)</f>
        <v/>
      </c>
      <c r="K34" s="52">
        <f>IF($A34="","",$G34+ROW()/1000000)</f>
        <v/>
      </c>
      <c r="L34" s="52">
        <f>IF($A34="","",IF($H34&gt;MetaPerdaMax,"ALERTA","OK"))</f>
        <v/>
      </c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</row>
    <row r="35">
      <c r="A35" s="52">
        <f>IF('Cadastro Produtos'!$B35="","",'Cadastro Produtos'!$B35)</f>
        <v/>
      </c>
      <c r="B35" s="63">
        <f>IF($A35="","",SUMIFS(Fat_PesoAntes,Fat_Produto,$A35))</f>
        <v/>
      </c>
      <c r="C35" s="63">
        <f>IF($A35="","",SUMIFS(Fat_PesoVend,Fat_Produto,$A35))</f>
        <v/>
      </c>
      <c r="D35" s="63">
        <f>IF($A35="","",SUMIFS(Fat_PesoPerd,Fat_Produto,$A35))</f>
        <v/>
      </c>
      <c r="E35" s="53">
        <f>IF($A35="","",SUMIFS(Fat_ValorPerd,Fat_Produto,$A35))</f>
        <v/>
      </c>
      <c r="F35" s="53">
        <f>IF($A35="","",SUMIFS(Fat_Receita,Fat_Produto,$A35))</f>
        <v/>
      </c>
      <c r="G35" s="53">
        <f>IF($A35="","",SUMIFS(Fat_LucroLiq,Fat_Produto,$A35))</f>
        <v/>
      </c>
      <c r="H35" s="54">
        <f>IF($A35="","",IFERROR($D35/$B35,0))</f>
        <v/>
      </c>
      <c r="I35" s="54">
        <f>IF($A35="","",IFERROR($G35/$F35,0))</f>
        <v/>
      </c>
      <c r="J35" s="52">
        <f>IF($A35="","",$E35+ROW()/1000000)</f>
        <v/>
      </c>
      <c r="K35" s="52">
        <f>IF($A35="","",$G35+ROW()/1000000)</f>
        <v/>
      </c>
      <c r="L35" s="52">
        <f>IF($A35="","",IF($H35&gt;MetaPerdaMax,"ALERTA","OK"))</f>
        <v/>
      </c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</row>
    <row r="36">
      <c r="A36" s="52">
        <f>IF('Cadastro Produtos'!$B36="","",'Cadastro Produtos'!$B36)</f>
        <v/>
      </c>
      <c r="B36" s="63">
        <f>IF($A36="","",SUMIFS(Fat_PesoAntes,Fat_Produto,$A36))</f>
        <v/>
      </c>
      <c r="C36" s="63">
        <f>IF($A36="","",SUMIFS(Fat_PesoVend,Fat_Produto,$A36))</f>
        <v/>
      </c>
      <c r="D36" s="63">
        <f>IF($A36="","",SUMIFS(Fat_PesoPerd,Fat_Produto,$A36))</f>
        <v/>
      </c>
      <c r="E36" s="53">
        <f>IF($A36="","",SUMIFS(Fat_ValorPerd,Fat_Produto,$A36))</f>
        <v/>
      </c>
      <c r="F36" s="53">
        <f>IF($A36="","",SUMIFS(Fat_Receita,Fat_Produto,$A36))</f>
        <v/>
      </c>
      <c r="G36" s="53">
        <f>IF($A36="","",SUMIFS(Fat_LucroLiq,Fat_Produto,$A36))</f>
        <v/>
      </c>
      <c r="H36" s="54">
        <f>IF($A36="","",IFERROR($D36/$B36,0))</f>
        <v/>
      </c>
      <c r="I36" s="54">
        <f>IF($A36="","",IFERROR($G36/$F36,0))</f>
        <v/>
      </c>
      <c r="J36" s="52">
        <f>IF($A36="","",$E36+ROW()/1000000)</f>
        <v/>
      </c>
      <c r="K36" s="52">
        <f>IF($A36="","",$G36+ROW()/1000000)</f>
        <v/>
      </c>
      <c r="L36" s="52">
        <f>IF($A36="","",IF($H36&gt;MetaPerdaMax,"ALERTA","OK"))</f>
        <v/>
      </c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</row>
    <row r="37">
      <c r="A37" s="52">
        <f>IF('Cadastro Produtos'!$B37="","",'Cadastro Produtos'!$B37)</f>
        <v/>
      </c>
      <c r="B37" s="63">
        <f>IF($A37="","",SUMIFS(Fat_PesoAntes,Fat_Produto,$A37))</f>
        <v/>
      </c>
      <c r="C37" s="63">
        <f>IF($A37="","",SUMIFS(Fat_PesoVend,Fat_Produto,$A37))</f>
        <v/>
      </c>
      <c r="D37" s="63">
        <f>IF($A37="","",SUMIFS(Fat_PesoPerd,Fat_Produto,$A37))</f>
        <v/>
      </c>
      <c r="E37" s="53">
        <f>IF($A37="","",SUMIFS(Fat_ValorPerd,Fat_Produto,$A37))</f>
        <v/>
      </c>
      <c r="F37" s="53">
        <f>IF($A37="","",SUMIFS(Fat_Receita,Fat_Produto,$A37))</f>
        <v/>
      </c>
      <c r="G37" s="53">
        <f>IF($A37="","",SUMIFS(Fat_LucroLiq,Fat_Produto,$A37))</f>
        <v/>
      </c>
      <c r="H37" s="54">
        <f>IF($A37="","",IFERROR($D37/$B37,0))</f>
        <v/>
      </c>
      <c r="I37" s="54">
        <f>IF($A37="","",IFERROR($G37/$F37,0))</f>
        <v/>
      </c>
      <c r="J37" s="52">
        <f>IF($A37="","",$E37+ROW()/1000000)</f>
        <v/>
      </c>
      <c r="K37" s="52">
        <f>IF($A37="","",$G37+ROW()/1000000)</f>
        <v/>
      </c>
      <c r="L37" s="52">
        <f>IF($A37="","",IF($H37&gt;MetaPerdaMax,"ALERTA","OK"))</f>
        <v/>
      </c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  <c r="AC37" s="37" t="n"/>
      <c r="AD37" s="37" t="n"/>
    </row>
    <row r="38">
      <c r="A38" s="52">
        <f>IF('Cadastro Produtos'!$B38="","",'Cadastro Produtos'!$B38)</f>
        <v/>
      </c>
      <c r="B38" s="63">
        <f>IF($A38="","",SUMIFS(Fat_PesoAntes,Fat_Produto,$A38))</f>
        <v/>
      </c>
      <c r="C38" s="63">
        <f>IF($A38="","",SUMIFS(Fat_PesoVend,Fat_Produto,$A38))</f>
        <v/>
      </c>
      <c r="D38" s="63">
        <f>IF($A38="","",SUMIFS(Fat_PesoPerd,Fat_Produto,$A38))</f>
        <v/>
      </c>
      <c r="E38" s="53">
        <f>IF($A38="","",SUMIFS(Fat_ValorPerd,Fat_Produto,$A38))</f>
        <v/>
      </c>
      <c r="F38" s="53">
        <f>IF($A38="","",SUMIFS(Fat_Receita,Fat_Produto,$A38))</f>
        <v/>
      </c>
      <c r="G38" s="53">
        <f>IF($A38="","",SUMIFS(Fat_LucroLiq,Fat_Produto,$A38))</f>
        <v/>
      </c>
      <c r="H38" s="54">
        <f>IF($A38="","",IFERROR($D38/$B38,0))</f>
        <v/>
      </c>
      <c r="I38" s="54">
        <f>IF($A38="","",IFERROR($G38/$F38,0))</f>
        <v/>
      </c>
      <c r="J38" s="52">
        <f>IF($A38="","",$E38+ROW()/1000000)</f>
        <v/>
      </c>
      <c r="K38" s="52">
        <f>IF($A38="","",$G38+ROW()/1000000)</f>
        <v/>
      </c>
      <c r="L38" s="52">
        <f>IF($A38="","",IF($H38&gt;MetaPerdaMax,"ALERTA","OK"))</f>
        <v/>
      </c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  <c r="AC38" s="37" t="n"/>
      <c r="AD38" s="37" t="n"/>
    </row>
    <row r="39">
      <c r="A39" s="52">
        <f>IF('Cadastro Produtos'!$B39="","",'Cadastro Produtos'!$B39)</f>
        <v/>
      </c>
      <c r="B39" s="63">
        <f>IF($A39="","",SUMIFS(Fat_PesoAntes,Fat_Produto,$A39))</f>
        <v/>
      </c>
      <c r="C39" s="63">
        <f>IF($A39="","",SUMIFS(Fat_PesoVend,Fat_Produto,$A39))</f>
        <v/>
      </c>
      <c r="D39" s="63">
        <f>IF($A39="","",SUMIFS(Fat_PesoPerd,Fat_Produto,$A39))</f>
        <v/>
      </c>
      <c r="E39" s="53">
        <f>IF($A39="","",SUMIFS(Fat_ValorPerd,Fat_Produto,$A39))</f>
        <v/>
      </c>
      <c r="F39" s="53">
        <f>IF($A39="","",SUMIFS(Fat_Receita,Fat_Produto,$A39))</f>
        <v/>
      </c>
      <c r="G39" s="53">
        <f>IF($A39="","",SUMIFS(Fat_LucroLiq,Fat_Produto,$A39))</f>
        <v/>
      </c>
      <c r="H39" s="54">
        <f>IF($A39="","",IFERROR($D39/$B39,0))</f>
        <v/>
      </c>
      <c r="I39" s="54">
        <f>IF($A39="","",IFERROR($G39/$F39,0))</f>
        <v/>
      </c>
      <c r="J39" s="52">
        <f>IF($A39="","",$E39+ROW()/1000000)</f>
        <v/>
      </c>
      <c r="K39" s="52">
        <f>IF($A39="","",$G39+ROW()/1000000)</f>
        <v/>
      </c>
      <c r="L39" s="52">
        <f>IF($A39="","",IF($H39&gt;MetaPerdaMax,"ALERTA","OK"))</f>
        <v/>
      </c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  <c r="AC39" s="37" t="n"/>
      <c r="AD39" s="37" t="n"/>
    </row>
    <row r="40">
      <c r="A40" s="52">
        <f>IF('Cadastro Produtos'!$B40="","",'Cadastro Produtos'!$B40)</f>
        <v/>
      </c>
      <c r="B40" s="63">
        <f>IF($A40="","",SUMIFS(Fat_PesoAntes,Fat_Produto,$A40))</f>
        <v/>
      </c>
      <c r="C40" s="63">
        <f>IF($A40="","",SUMIFS(Fat_PesoVend,Fat_Produto,$A40))</f>
        <v/>
      </c>
      <c r="D40" s="63">
        <f>IF($A40="","",SUMIFS(Fat_PesoPerd,Fat_Produto,$A40))</f>
        <v/>
      </c>
      <c r="E40" s="53">
        <f>IF($A40="","",SUMIFS(Fat_ValorPerd,Fat_Produto,$A40))</f>
        <v/>
      </c>
      <c r="F40" s="53">
        <f>IF($A40="","",SUMIFS(Fat_Receita,Fat_Produto,$A40))</f>
        <v/>
      </c>
      <c r="G40" s="53">
        <f>IF($A40="","",SUMIFS(Fat_LucroLiq,Fat_Produto,$A40))</f>
        <v/>
      </c>
      <c r="H40" s="54">
        <f>IF($A40="","",IFERROR($D40/$B40,0))</f>
        <v/>
      </c>
      <c r="I40" s="54">
        <f>IF($A40="","",IFERROR($G40/$F40,0))</f>
        <v/>
      </c>
      <c r="J40" s="52">
        <f>IF($A40="","",$E40+ROW()/1000000)</f>
        <v/>
      </c>
      <c r="K40" s="52">
        <f>IF($A40="","",$G40+ROW()/1000000)</f>
        <v/>
      </c>
      <c r="L40" s="52">
        <f>IF($A40="","",IF($H40&gt;MetaPerdaMax,"ALERTA","OK"))</f>
        <v/>
      </c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  <c r="AC40" s="37" t="n"/>
      <c r="AD40" s="37" t="n"/>
    </row>
    <row r="41">
      <c r="A41" s="52">
        <f>IF('Cadastro Produtos'!$B41="","",'Cadastro Produtos'!$B41)</f>
        <v/>
      </c>
      <c r="B41" s="63">
        <f>IF($A41="","",SUMIFS(Fat_PesoAntes,Fat_Produto,$A41))</f>
        <v/>
      </c>
      <c r="C41" s="63">
        <f>IF($A41="","",SUMIFS(Fat_PesoVend,Fat_Produto,$A41))</f>
        <v/>
      </c>
      <c r="D41" s="63">
        <f>IF($A41="","",SUMIFS(Fat_PesoPerd,Fat_Produto,$A41))</f>
        <v/>
      </c>
      <c r="E41" s="53">
        <f>IF($A41="","",SUMIFS(Fat_ValorPerd,Fat_Produto,$A41))</f>
        <v/>
      </c>
      <c r="F41" s="53">
        <f>IF($A41="","",SUMIFS(Fat_Receita,Fat_Produto,$A41))</f>
        <v/>
      </c>
      <c r="G41" s="53">
        <f>IF($A41="","",SUMIFS(Fat_LucroLiq,Fat_Produto,$A41))</f>
        <v/>
      </c>
      <c r="H41" s="54">
        <f>IF($A41="","",IFERROR($D41/$B41,0))</f>
        <v/>
      </c>
      <c r="I41" s="54">
        <f>IF($A41="","",IFERROR($G41/$F41,0))</f>
        <v/>
      </c>
      <c r="J41" s="52">
        <f>IF($A41="","",$E41+ROW()/1000000)</f>
        <v/>
      </c>
      <c r="K41" s="52">
        <f>IF($A41="","",$G41+ROW()/1000000)</f>
        <v/>
      </c>
      <c r="L41" s="52">
        <f>IF($A41="","",IF($H41&gt;MetaPerdaMax,"ALERTA","OK"))</f>
        <v/>
      </c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  <c r="AC41" s="37" t="n"/>
      <c r="AD41" s="37" t="n"/>
    </row>
    <row r="42">
      <c r="A42" s="52">
        <f>IF('Cadastro Produtos'!$B42="","",'Cadastro Produtos'!$B42)</f>
        <v/>
      </c>
      <c r="B42" s="63">
        <f>IF($A42="","",SUMIFS(Fat_PesoAntes,Fat_Produto,$A42))</f>
        <v/>
      </c>
      <c r="C42" s="63">
        <f>IF($A42="","",SUMIFS(Fat_PesoVend,Fat_Produto,$A42))</f>
        <v/>
      </c>
      <c r="D42" s="63">
        <f>IF($A42="","",SUMIFS(Fat_PesoPerd,Fat_Produto,$A42))</f>
        <v/>
      </c>
      <c r="E42" s="53">
        <f>IF($A42="","",SUMIFS(Fat_ValorPerd,Fat_Produto,$A42))</f>
        <v/>
      </c>
      <c r="F42" s="53">
        <f>IF($A42="","",SUMIFS(Fat_Receita,Fat_Produto,$A42))</f>
        <v/>
      </c>
      <c r="G42" s="53">
        <f>IF($A42="","",SUMIFS(Fat_LucroLiq,Fat_Produto,$A42))</f>
        <v/>
      </c>
      <c r="H42" s="54">
        <f>IF($A42="","",IFERROR($D42/$B42,0))</f>
        <v/>
      </c>
      <c r="I42" s="54">
        <f>IF($A42="","",IFERROR($G42/$F42,0))</f>
        <v/>
      </c>
      <c r="J42" s="52">
        <f>IF($A42="","",$E42+ROW()/1000000)</f>
        <v/>
      </c>
      <c r="K42" s="52">
        <f>IF($A42="","",$G42+ROW()/1000000)</f>
        <v/>
      </c>
      <c r="L42" s="52">
        <f>IF($A42="","",IF($H42&gt;MetaPerdaMax,"ALERTA","OK"))</f>
        <v/>
      </c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  <c r="AC42" s="37" t="n"/>
      <c r="AD42" s="37" t="n"/>
    </row>
    <row r="43">
      <c r="A43" s="52">
        <f>IF('Cadastro Produtos'!$B43="","",'Cadastro Produtos'!$B43)</f>
        <v/>
      </c>
      <c r="B43" s="63">
        <f>IF($A43="","",SUMIFS(Fat_PesoAntes,Fat_Produto,$A43))</f>
        <v/>
      </c>
      <c r="C43" s="63">
        <f>IF($A43="","",SUMIFS(Fat_PesoVend,Fat_Produto,$A43))</f>
        <v/>
      </c>
      <c r="D43" s="63">
        <f>IF($A43="","",SUMIFS(Fat_PesoPerd,Fat_Produto,$A43))</f>
        <v/>
      </c>
      <c r="E43" s="53">
        <f>IF($A43="","",SUMIFS(Fat_ValorPerd,Fat_Produto,$A43))</f>
        <v/>
      </c>
      <c r="F43" s="53">
        <f>IF($A43="","",SUMIFS(Fat_Receita,Fat_Produto,$A43))</f>
        <v/>
      </c>
      <c r="G43" s="53">
        <f>IF($A43="","",SUMIFS(Fat_LucroLiq,Fat_Produto,$A43))</f>
        <v/>
      </c>
      <c r="H43" s="54">
        <f>IF($A43="","",IFERROR($D43/$B43,0))</f>
        <v/>
      </c>
      <c r="I43" s="54">
        <f>IF($A43="","",IFERROR($G43/$F43,0))</f>
        <v/>
      </c>
      <c r="J43" s="52">
        <f>IF($A43="","",$E43+ROW()/1000000)</f>
        <v/>
      </c>
      <c r="K43" s="52">
        <f>IF($A43="","",$G43+ROW()/1000000)</f>
        <v/>
      </c>
      <c r="L43" s="52">
        <f>IF($A43="","",IF($H43&gt;MetaPerdaMax,"ALERTA","OK"))</f>
        <v/>
      </c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  <c r="AC43" s="37" t="n"/>
      <c r="AD43" s="37" t="n"/>
    </row>
    <row r="44">
      <c r="A44" s="52">
        <f>IF('Cadastro Produtos'!$B44="","",'Cadastro Produtos'!$B44)</f>
        <v/>
      </c>
      <c r="B44" s="63">
        <f>IF($A44="","",SUMIFS(Fat_PesoAntes,Fat_Produto,$A44))</f>
        <v/>
      </c>
      <c r="C44" s="63">
        <f>IF($A44="","",SUMIFS(Fat_PesoVend,Fat_Produto,$A44))</f>
        <v/>
      </c>
      <c r="D44" s="63">
        <f>IF($A44="","",SUMIFS(Fat_PesoPerd,Fat_Produto,$A44))</f>
        <v/>
      </c>
      <c r="E44" s="53">
        <f>IF($A44="","",SUMIFS(Fat_ValorPerd,Fat_Produto,$A44))</f>
        <v/>
      </c>
      <c r="F44" s="53">
        <f>IF($A44="","",SUMIFS(Fat_Receita,Fat_Produto,$A44))</f>
        <v/>
      </c>
      <c r="G44" s="53">
        <f>IF($A44="","",SUMIFS(Fat_LucroLiq,Fat_Produto,$A44))</f>
        <v/>
      </c>
      <c r="H44" s="54">
        <f>IF($A44="","",IFERROR($D44/$B44,0))</f>
        <v/>
      </c>
      <c r="I44" s="54">
        <f>IF($A44="","",IFERROR($G44/$F44,0))</f>
        <v/>
      </c>
      <c r="J44" s="52">
        <f>IF($A44="","",$E44+ROW()/1000000)</f>
        <v/>
      </c>
      <c r="K44" s="52">
        <f>IF($A44="","",$G44+ROW()/1000000)</f>
        <v/>
      </c>
      <c r="L44" s="52">
        <f>IF($A44="","",IF($H44&gt;MetaPerdaMax,"ALERTA","OK"))</f>
        <v/>
      </c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  <c r="AC44" s="37" t="n"/>
      <c r="AD44" s="37" t="n"/>
    </row>
    <row r="45">
      <c r="A45" s="52">
        <f>IF('Cadastro Produtos'!$B45="","",'Cadastro Produtos'!$B45)</f>
        <v/>
      </c>
      <c r="B45" s="63">
        <f>IF($A45="","",SUMIFS(Fat_PesoAntes,Fat_Produto,$A45))</f>
        <v/>
      </c>
      <c r="C45" s="63">
        <f>IF($A45="","",SUMIFS(Fat_PesoVend,Fat_Produto,$A45))</f>
        <v/>
      </c>
      <c r="D45" s="63">
        <f>IF($A45="","",SUMIFS(Fat_PesoPerd,Fat_Produto,$A45))</f>
        <v/>
      </c>
      <c r="E45" s="53">
        <f>IF($A45="","",SUMIFS(Fat_ValorPerd,Fat_Produto,$A45))</f>
        <v/>
      </c>
      <c r="F45" s="53">
        <f>IF($A45="","",SUMIFS(Fat_Receita,Fat_Produto,$A45))</f>
        <v/>
      </c>
      <c r="G45" s="53">
        <f>IF($A45="","",SUMIFS(Fat_LucroLiq,Fat_Produto,$A45))</f>
        <v/>
      </c>
      <c r="H45" s="54">
        <f>IF($A45="","",IFERROR($D45/$B45,0))</f>
        <v/>
      </c>
      <c r="I45" s="54">
        <f>IF($A45="","",IFERROR($G45/$F45,0))</f>
        <v/>
      </c>
      <c r="J45" s="52">
        <f>IF($A45="","",$E45+ROW()/1000000)</f>
        <v/>
      </c>
      <c r="K45" s="52">
        <f>IF($A45="","",$G45+ROW()/1000000)</f>
        <v/>
      </c>
      <c r="L45" s="52">
        <f>IF($A45="","",IF($H45&gt;MetaPerdaMax,"ALERTA","OK"))</f>
        <v/>
      </c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  <c r="AC45" s="37" t="n"/>
      <c r="AD45" s="37" t="n"/>
    </row>
    <row r="46">
      <c r="A46" s="52">
        <f>IF('Cadastro Produtos'!$B46="","",'Cadastro Produtos'!$B46)</f>
        <v/>
      </c>
      <c r="B46" s="63">
        <f>IF($A46="","",SUMIFS(Fat_PesoAntes,Fat_Produto,$A46))</f>
        <v/>
      </c>
      <c r="C46" s="63">
        <f>IF($A46="","",SUMIFS(Fat_PesoVend,Fat_Produto,$A46))</f>
        <v/>
      </c>
      <c r="D46" s="63">
        <f>IF($A46="","",SUMIFS(Fat_PesoPerd,Fat_Produto,$A46))</f>
        <v/>
      </c>
      <c r="E46" s="53">
        <f>IF($A46="","",SUMIFS(Fat_ValorPerd,Fat_Produto,$A46))</f>
        <v/>
      </c>
      <c r="F46" s="53">
        <f>IF($A46="","",SUMIFS(Fat_Receita,Fat_Produto,$A46))</f>
        <v/>
      </c>
      <c r="G46" s="53">
        <f>IF($A46="","",SUMIFS(Fat_LucroLiq,Fat_Produto,$A46))</f>
        <v/>
      </c>
      <c r="H46" s="54">
        <f>IF($A46="","",IFERROR($D46/$B46,0))</f>
        <v/>
      </c>
      <c r="I46" s="54">
        <f>IF($A46="","",IFERROR($G46/$F46,0))</f>
        <v/>
      </c>
      <c r="J46" s="52">
        <f>IF($A46="","",$E46+ROW()/1000000)</f>
        <v/>
      </c>
      <c r="K46" s="52">
        <f>IF($A46="","",$G46+ROW()/1000000)</f>
        <v/>
      </c>
      <c r="L46" s="52">
        <f>IF($A46="","",IF($H46&gt;MetaPerdaMax,"ALERTA","OK"))</f>
        <v/>
      </c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  <c r="AC46" s="37" t="n"/>
      <c r="AD46" s="37" t="n"/>
    </row>
    <row r="47">
      <c r="A47" s="52">
        <f>IF('Cadastro Produtos'!$B47="","",'Cadastro Produtos'!$B47)</f>
        <v/>
      </c>
      <c r="B47" s="63">
        <f>IF($A47="","",SUMIFS(Fat_PesoAntes,Fat_Produto,$A47))</f>
        <v/>
      </c>
      <c r="C47" s="63">
        <f>IF($A47="","",SUMIFS(Fat_PesoVend,Fat_Produto,$A47))</f>
        <v/>
      </c>
      <c r="D47" s="63">
        <f>IF($A47="","",SUMIFS(Fat_PesoPerd,Fat_Produto,$A47))</f>
        <v/>
      </c>
      <c r="E47" s="53">
        <f>IF($A47="","",SUMIFS(Fat_ValorPerd,Fat_Produto,$A47))</f>
        <v/>
      </c>
      <c r="F47" s="53">
        <f>IF($A47="","",SUMIFS(Fat_Receita,Fat_Produto,$A47))</f>
        <v/>
      </c>
      <c r="G47" s="53">
        <f>IF($A47="","",SUMIFS(Fat_LucroLiq,Fat_Produto,$A47))</f>
        <v/>
      </c>
      <c r="H47" s="54">
        <f>IF($A47="","",IFERROR($D47/$B47,0))</f>
        <v/>
      </c>
      <c r="I47" s="54">
        <f>IF($A47="","",IFERROR($G47/$F47,0))</f>
        <v/>
      </c>
      <c r="J47" s="52">
        <f>IF($A47="","",$E47+ROW()/1000000)</f>
        <v/>
      </c>
      <c r="K47" s="52">
        <f>IF($A47="","",$G47+ROW()/1000000)</f>
        <v/>
      </c>
      <c r="L47" s="52">
        <f>IF($A47="","",IF($H47&gt;MetaPerdaMax,"ALERTA","OK"))</f>
        <v/>
      </c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  <c r="AC47" s="37" t="n"/>
      <c r="AD47" s="37" t="n"/>
    </row>
    <row r="48">
      <c r="A48" s="52">
        <f>IF('Cadastro Produtos'!$B48="","",'Cadastro Produtos'!$B48)</f>
        <v/>
      </c>
      <c r="B48" s="63">
        <f>IF($A48="","",SUMIFS(Fat_PesoAntes,Fat_Produto,$A48))</f>
        <v/>
      </c>
      <c r="C48" s="63">
        <f>IF($A48="","",SUMIFS(Fat_PesoVend,Fat_Produto,$A48))</f>
        <v/>
      </c>
      <c r="D48" s="63">
        <f>IF($A48="","",SUMIFS(Fat_PesoPerd,Fat_Produto,$A48))</f>
        <v/>
      </c>
      <c r="E48" s="53">
        <f>IF($A48="","",SUMIFS(Fat_ValorPerd,Fat_Produto,$A48))</f>
        <v/>
      </c>
      <c r="F48" s="53">
        <f>IF($A48="","",SUMIFS(Fat_Receita,Fat_Produto,$A48))</f>
        <v/>
      </c>
      <c r="G48" s="53">
        <f>IF($A48="","",SUMIFS(Fat_LucroLiq,Fat_Produto,$A48))</f>
        <v/>
      </c>
      <c r="H48" s="54">
        <f>IF($A48="","",IFERROR($D48/$B48,0))</f>
        <v/>
      </c>
      <c r="I48" s="54">
        <f>IF($A48="","",IFERROR($G48/$F48,0))</f>
        <v/>
      </c>
      <c r="J48" s="52">
        <f>IF($A48="","",$E48+ROW()/1000000)</f>
        <v/>
      </c>
      <c r="K48" s="52">
        <f>IF($A48="","",$G48+ROW()/1000000)</f>
        <v/>
      </c>
      <c r="L48" s="52">
        <f>IF($A48="","",IF($H48&gt;MetaPerdaMax,"ALERTA","OK"))</f>
        <v/>
      </c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</row>
    <row r="49">
      <c r="A49" s="52">
        <f>IF('Cadastro Produtos'!$B49="","",'Cadastro Produtos'!$B49)</f>
        <v/>
      </c>
      <c r="B49" s="63">
        <f>IF($A49="","",SUMIFS(Fat_PesoAntes,Fat_Produto,$A49))</f>
        <v/>
      </c>
      <c r="C49" s="63">
        <f>IF($A49="","",SUMIFS(Fat_PesoVend,Fat_Produto,$A49))</f>
        <v/>
      </c>
      <c r="D49" s="63">
        <f>IF($A49="","",SUMIFS(Fat_PesoPerd,Fat_Produto,$A49))</f>
        <v/>
      </c>
      <c r="E49" s="53">
        <f>IF($A49="","",SUMIFS(Fat_ValorPerd,Fat_Produto,$A49))</f>
        <v/>
      </c>
      <c r="F49" s="53">
        <f>IF($A49="","",SUMIFS(Fat_Receita,Fat_Produto,$A49))</f>
        <v/>
      </c>
      <c r="G49" s="53">
        <f>IF($A49="","",SUMIFS(Fat_LucroLiq,Fat_Produto,$A49))</f>
        <v/>
      </c>
      <c r="H49" s="54">
        <f>IF($A49="","",IFERROR($D49/$B49,0))</f>
        <v/>
      </c>
      <c r="I49" s="54">
        <f>IF($A49="","",IFERROR($G49/$F49,0))</f>
        <v/>
      </c>
      <c r="J49" s="52">
        <f>IF($A49="","",$E49+ROW()/1000000)</f>
        <v/>
      </c>
      <c r="K49" s="52">
        <f>IF($A49="","",$G49+ROW()/1000000)</f>
        <v/>
      </c>
      <c r="L49" s="52">
        <f>IF($A49="","",IF($H49&gt;MetaPerdaMax,"ALERTA","OK"))</f>
        <v/>
      </c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  <c r="AC49" s="37" t="n"/>
      <c r="AD49" s="37" t="n"/>
    </row>
    <row r="50">
      <c r="A50" s="52">
        <f>IF('Cadastro Produtos'!$B50="","",'Cadastro Produtos'!$B50)</f>
        <v/>
      </c>
      <c r="B50" s="63">
        <f>IF($A50="","",SUMIFS(Fat_PesoAntes,Fat_Produto,$A50))</f>
        <v/>
      </c>
      <c r="C50" s="63">
        <f>IF($A50="","",SUMIFS(Fat_PesoVend,Fat_Produto,$A50))</f>
        <v/>
      </c>
      <c r="D50" s="63">
        <f>IF($A50="","",SUMIFS(Fat_PesoPerd,Fat_Produto,$A50))</f>
        <v/>
      </c>
      <c r="E50" s="53">
        <f>IF($A50="","",SUMIFS(Fat_ValorPerd,Fat_Produto,$A50))</f>
        <v/>
      </c>
      <c r="F50" s="53">
        <f>IF($A50="","",SUMIFS(Fat_Receita,Fat_Produto,$A50))</f>
        <v/>
      </c>
      <c r="G50" s="53">
        <f>IF($A50="","",SUMIFS(Fat_LucroLiq,Fat_Produto,$A50))</f>
        <v/>
      </c>
      <c r="H50" s="54">
        <f>IF($A50="","",IFERROR($D50/$B50,0))</f>
        <v/>
      </c>
      <c r="I50" s="54">
        <f>IF($A50="","",IFERROR($G50/$F50,0))</f>
        <v/>
      </c>
      <c r="J50" s="52">
        <f>IF($A50="","",$E50+ROW()/1000000)</f>
        <v/>
      </c>
      <c r="K50" s="52">
        <f>IF($A50="","",$G50+ROW()/1000000)</f>
        <v/>
      </c>
      <c r="L50" s="52">
        <f>IF($A50="","",IF($H50&gt;MetaPerdaMax,"ALERTA","OK"))</f>
        <v/>
      </c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  <c r="AC50" s="37" t="n"/>
      <c r="AD50" s="37" t="n"/>
    </row>
    <row r="51">
      <c r="A51" s="52">
        <f>IF('Cadastro Produtos'!$B51="","",'Cadastro Produtos'!$B51)</f>
        <v/>
      </c>
      <c r="B51" s="63">
        <f>IF($A51="","",SUMIFS(Fat_PesoAntes,Fat_Produto,$A51))</f>
        <v/>
      </c>
      <c r="C51" s="63">
        <f>IF($A51="","",SUMIFS(Fat_PesoVend,Fat_Produto,$A51))</f>
        <v/>
      </c>
      <c r="D51" s="63">
        <f>IF($A51="","",SUMIFS(Fat_PesoPerd,Fat_Produto,$A51))</f>
        <v/>
      </c>
      <c r="E51" s="53">
        <f>IF($A51="","",SUMIFS(Fat_ValorPerd,Fat_Produto,$A51))</f>
        <v/>
      </c>
      <c r="F51" s="53">
        <f>IF($A51="","",SUMIFS(Fat_Receita,Fat_Produto,$A51))</f>
        <v/>
      </c>
      <c r="G51" s="53">
        <f>IF($A51="","",SUMIFS(Fat_LucroLiq,Fat_Produto,$A51))</f>
        <v/>
      </c>
      <c r="H51" s="54">
        <f>IF($A51="","",IFERROR($D51/$B51,0))</f>
        <v/>
      </c>
      <c r="I51" s="54">
        <f>IF($A51="","",IFERROR($G51/$F51,0))</f>
        <v/>
      </c>
      <c r="J51" s="52">
        <f>IF($A51="","",$E51+ROW()/1000000)</f>
        <v/>
      </c>
      <c r="K51" s="52">
        <f>IF($A51="","",$G51+ROW()/1000000)</f>
        <v/>
      </c>
      <c r="L51" s="52">
        <f>IF($A51="","",IF($H51&gt;MetaPerdaMax,"ALERTA","OK"))</f>
        <v/>
      </c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</row>
    <row r="52">
      <c r="A52" s="52">
        <f>IF('Cadastro Produtos'!$B52="","",'Cadastro Produtos'!$B52)</f>
        <v/>
      </c>
      <c r="B52" s="63">
        <f>IF($A52="","",SUMIFS(Fat_PesoAntes,Fat_Produto,$A52))</f>
        <v/>
      </c>
      <c r="C52" s="63">
        <f>IF($A52="","",SUMIFS(Fat_PesoVend,Fat_Produto,$A52))</f>
        <v/>
      </c>
      <c r="D52" s="63">
        <f>IF($A52="","",SUMIFS(Fat_PesoPerd,Fat_Produto,$A52))</f>
        <v/>
      </c>
      <c r="E52" s="53">
        <f>IF($A52="","",SUMIFS(Fat_ValorPerd,Fat_Produto,$A52))</f>
        <v/>
      </c>
      <c r="F52" s="53">
        <f>IF($A52="","",SUMIFS(Fat_Receita,Fat_Produto,$A52))</f>
        <v/>
      </c>
      <c r="G52" s="53">
        <f>IF($A52="","",SUMIFS(Fat_LucroLiq,Fat_Produto,$A52))</f>
        <v/>
      </c>
      <c r="H52" s="54">
        <f>IF($A52="","",IFERROR($D52/$B52,0))</f>
        <v/>
      </c>
      <c r="I52" s="54">
        <f>IF($A52="","",IFERROR($G52/$F52,0))</f>
        <v/>
      </c>
      <c r="J52" s="52">
        <f>IF($A52="","",$E52+ROW()/1000000)</f>
        <v/>
      </c>
      <c r="K52" s="52">
        <f>IF($A52="","",$G52+ROW()/1000000)</f>
        <v/>
      </c>
      <c r="L52" s="52">
        <f>IF($A52="","",IF($H52&gt;MetaPerdaMax,"ALERTA","OK"))</f>
        <v/>
      </c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</row>
    <row r="53">
      <c r="A53" s="52">
        <f>IF('Cadastro Produtos'!$B53="","",'Cadastro Produtos'!$B53)</f>
        <v/>
      </c>
      <c r="B53" s="63">
        <f>IF($A53="","",SUMIFS(Fat_PesoAntes,Fat_Produto,$A53))</f>
        <v/>
      </c>
      <c r="C53" s="63">
        <f>IF($A53="","",SUMIFS(Fat_PesoVend,Fat_Produto,$A53))</f>
        <v/>
      </c>
      <c r="D53" s="63">
        <f>IF($A53="","",SUMIFS(Fat_PesoPerd,Fat_Produto,$A53))</f>
        <v/>
      </c>
      <c r="E53" s="53">
        <f>IF($A53="","",SUMIFS(Fat_ValorPerd,Fat_Produto,$A53))</f>
        <v/>
      </c>
      <c r="F53" s="53">
        <f>IF($A53="","",SUMIFS(Fat_Receita,Fat_Produto,$A53))</f>
        <v/>
      </c>
      <c r="G53" s="53">
        <f>IF($A53="","",SUMIFS(Fat_LucroLiq,Fat_Produto,$A53))</f>
        <v/>
      </c>
      <c r="H53" s="54">
        <f>IF($A53="","",IFERROR($D53/$B53,0))</f>
        <v/>
      </c>
      <c r="I53" s="54">
        <f>IF($A53="","",IFERROR($G53/$F53,0))</f>
        <v/>
      </c>
      <c r="J53" s="52">
        <f>IF($A53="","",$E53+ROW()/1000000)</f>
        <v/>
      </c>
      <c r="K53" s="52">
        <f>IF($A53="","",$G53+ROW()/1000000)</f>
        <v/>
      </c>
      <c r="L53" s="52">
        <f>IF($A53="","",IF($H53&gt;MetaPerdaMax,"ALERTA","OK"))</f>
        <v/>
      </c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  <c r="AC53" s="37" t="n"/>
      <c r="AD53" s="37" t="n"/>
    </row>
    <row r="54">
      <c r="A54" s="52">
        <f>IF('Cadastro Produtos'!$B54="","",'Cadastro Produtos'!$B54)</f>
        <v/>
      </c>
      <c r="B54" s="63">
        <f>IF($A54="","",SUMIFS(Fat_PesoAntes,Fat_Produto,$A54))</f>
        <v/>
      </c>
      <c r="C54" s="63">
        <f>IF($A54="","",SUMIFS(Fat_PesoVend,Fat_Produto,$A54))</f>
        <v/>
      </c>
      <c r="D54" s="63">
        <f>IF($A54="","",SUMIFS(Fat_PesoPerd,Fat_Produto,$A54))</f>
        <v/>
      </c>
      <c r="E54" s="53">
        <f>IF($A54="","",SUMIFS(Fat_ValorPerd,Fat_Produto,$A54))</f>
        <v/>
      </c>
      <c r="F54" s="53">
        <f>IF($A54="","",SUMIFS(Fat_Receita,Fat_Produto,$A54))</f>
        <v/>
      </c>
      <c r="G54" s="53">
        <f>IF($A54="","",SUMIFS(Fat_LucroLiq,Fat_Produto,$A54))</f>
        <v/>
      </c>
      <c r="H54" s="54">
        <f>IF($A54="","",IFERROR($D54/$B54,0))</f>
        <v/>
      </c>
      <c r="I54" s="54">
        <f>IF($A54="","",IFERROR($G54/$F54,0))</f>
        <v/>
      </c>
      <c r="J54" s="52">
        <f>IF($A54="","",$E54+ROW()/1000000)</f>
        <v/>
      </c>
      <c r="K54" s="52">
        <f>IF($A54="","",$G54+ROW()/1000000)</f>
        <v/>
      </c>
      <c r="L54" s="52">
        <f>IF($A54="","",IF($H54&gt;MetaPerdaMax,"ALERTA","OK"))</f>
        <v/>
      </c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</row>
  </sheetData>
  <sheetProtection selectLockedCells="1" selectUnlockedCells="1" sheet="1" objects="0" insertRows="0" insertHyperlinks="1" autoFilter="1" scenarios="0" formatColumns="0" deleteColumns="1" insertColumns="1" pivotTables="1" deleteRows="1" formatCells="0" formatRows="0" sort="1" password="CE4B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5" t="inlineStr">
        <is>
          <t>Listas de apoio (usadas nas validacoes/menus suspensos)</t>
        </is>
      </c>
    </row>
    <row r="3">
      <c r="A3" s="10" t="inlineStr">
        <is>
          <t>Funcionarios</t>
        </is>
      </c>
      <c r="B3" s="10" t="inlineStr">
        <is>
          <t>Motivos de perda</t>
        </is>
      </c>
      <c r="C3" s="10" t="inlineStr">
        <is>
          <t>Status</t>
        </is>
      </c>
      <c r="D3" s="10" t="inlineStr">
        <is>
          <t>Base do custo</t>
        </is>
      </c>
      <c r="E3" s="10" t="inlineStr">
        <is>
          <t>Categorias</t>
        </is>
      </c>
      <c r="F3" s="10" t="inlineStr">
        <is>
          <t>Fornecedores</t>
        </is>
      </c>
      <c r="G3" s="10" t="inlineStr">
        <is>
          <t>Marcas</t>
        </is>
      </c>
    </row>
    <row r="4">
      <c r="A4" s="65" t="inlineStr">
        <is>
          <t>Joao</t>
        </is>
      </c>
      <c r="B4" s="65" t="inlineStr">
        <is>
          <t>Aparas/Casca</t>
        </is>
      </c>
      <c r="C4" s="65" t="inlineStr">
        <is>
          <t>Ativo</t>
        </is>
      </c>
      <c r="D4" s="65" t="inlineStr">
        <is>
          <t>Por kg</t>
        </is>
      </c>
      <c r="E4" s="65" t="inlineStr">
        <is>
          <t>Frios</t>
        </is>
      </c>
      <c r="F4" s="65" t="inlineStr">
        <is>
          <t>Distribuidora A</t>
        </is>
      </c>
      <c r="G4" s="65" t="inlineStr">
        <is>
          <t>Sadia</t>
        </is>
      </c>
    </row>
    <row r="5">
      <c r="A5" s="65" t="inlineStr">
        <is>
          <t>Maria</t>
        </is>
      </c>
      <c r="B5" s="65" t="inlineStr">
        <is>
          <t>Ponta da peca</t>
        </is>
      </c>
      <c r="C5" s="65" t="inlineStr">
        <is>
          <t>Inativo</t>
        </is>
      </c>
      <c r="D5" s="65" t="inlineStr">
        <is>
          <t>Por peca</t>
        </is>
      </c>
      <c r="E5" s="65" t="inlineStr">
        <is>
          <t>Laticinios</t>
        </is>
      </c>
      <c r="F5" s="65" t="inlineStr">
        <is>
          <t>Distribuidora B</t>
        </is>
      </c>
      <c r="G5" s="65" t="inlineStr">
        <is>
          <t>Perdigao</t>
        </is>
      </c>
    </row>
    <row r="6">
      <c r="A6" s="65" t="inlineStr">
        <is>
          <t>Carlos</t>
        </is>
      </c>
      <c r="B6" s="65" t="inlineStr">
        <is>
          <t>Amostra ao cliente</t>
        </is>
      </c>
      <c r="E6" s="65" t="inlineStr">
        <is>
          <t>Embutidos</t>
        </is>
      </c>
      <c r="F6" s="65" t="inlineStr">
        <is>
          <t>Distribuidora C</t>
        </is>
      </c>
      <c r="G6" s="65" t="inlineStr">
        <is>
          <t>Seara</t>
        </is>
      </c>
    </row>
    <row r="7">
      <c r="A7" s="65" t="inlineStr">
        <is>
          <t>Ana</t>
        </is>
      </c>
      <c r="B7" s="65" t="inlineStr">
        <is>
          <t>Limpeza da maquina</t>
        </is>
      </c>
      <c r="E7" s="65" t="inlineStr">
        <is>
          <t>Defumados</t>
        </is>
      </c>
      <c r="G7" s="65" t="inlineStr">
        <is>
          <t>Aurora</t>
        </is>
      </c>
    </row>
    <row r="8">
      <c r="A8" s="65" t="inlineStr">
        <is>
          <t>Pedro</t>
        </is>
      </c>
      <c r="B8" s="65" t="inlineStr">
        <is>
          <t>Produto danificado</t>
        </is>
      </c>
      <c r="G8" s="65" t="inlineStr">
        <is>
          <t>Tirolez</t>
        </is>
      </c>
    </row>
    <row r="9">
      <c r="A9" s="65" t="inlineStr">
        <is>
          <t>Rafael</t>
        </is>
      </c>
      <c r="B9" s="65" t="inlineStr">
        <is>
          <t>Validade proxima</t>
        </is>
      </c>
      <c r="G9" s="65" t="inlineStr">
        <is>
          <t>Polenghi</t>
        </is>
      </c>
    </row>
    <row r="10">
      <c r="B10" s="65" t="inlineStr">
        <is>
          <t>Outros</t>
        </is>
      </c>
      <c r="G10" s="65" t="inlineStr">
        <is>
          <t>President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2026-07-24T17:36:21Z</dcterms:created>
  <dcterms:modified xsi:type="dcterms:W3CDTF">2026-07-24T17:36:21Z</dcterms:modified>
</cp:coreProperties>
</file>